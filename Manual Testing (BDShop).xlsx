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urjo\Downloads\"/>
    </mc:Choice>
  </mc:AlternateContent>
  <xr:revisionPtr revIDLastSave="0" documentId="13_ncr:1_{CAF2E7C9-75BC-49CA-906C-B3EEA8F58C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Scenario" sheetId="3" r:id="rId1"/>
    <sheet name="TestCase" sheetId="2" r:id="rId2"/>
  </sheets>
  <definedNames>
    <definedName name="Remember_Me_checkbox_error">TestCase!$I$18</definedName>
  </definedNames>
  <calcPr calcId="181029"/>
</workbook>
</file>

<file path=xl/calcChain.xml><?xml version="1.0" encoding="utf-8"?>
<calcChain xmlns="http://schemas.openxmlformats.org/spreadsheetml/2006/main">
  <c r="F356" i="2" l="1"/>
  <c r="A356" i="2"/>
  <c r="F355" i="2"/>
  <c r="A355" i="2"/>
  <c r="F354" i="2"/>
  <c r="A354" i="2"/>
  <c r="F353" i="2"/>
  <c r="A353" i="2"/>
  <c r="F352" i="2"/>
  <c r="A352" i="2"/>
  <c r="F351" i="2"/>
  <c r="A351" i="2"/>
  <c r="F350" i="2"/>
  <c r="A350" i="2"/>
  <c r="F349" i="2"/>
  <c r="A349" i="2"/>
  <c r="F348" i="2"/>
  <c r="A348" i="2"/>
  <c r="F347" i="2"/>
  <c r="A347" i="2"/>
  <c r="F346" i="2"/>
  <c r="A346" i="2"/>
  <c r="F345" i="2"/>
  <c r="A345" i="2"/>
  <c r="F344" i="2"/>
  <c r="A344" i="2"/>
  <c r="F343" i="2"/>
  <c r="A343" i="2"/>
  <c r="F342" i="2"/>
  <c r="A342" i="2"/>
  <c r="F341" i="2"/>
  <c r="A341" i="2"/>
  <c r="F340" i="2"/>
  <c r="A340" i="2"/>
  <c r="F339" i="2"/>
  <c r="A339" i="2"/>
  <c r="F338" i="2"/>
  <c r="A338" i="2"/>
  <c r="F337" i="2"/>
  <c r="A337" i="2"/>
  <c r="F336" i="2"/>
  <c r="A336" i="2"/>
  <c r="F334" i="2"/>
  <c r="A334" i="2"/>
  <c r="F333" i="2"/>
  <c r="A333" i="2"/>
  <c r="F332" i="2"/>
  <c r="A332" i="2"/>
  <c r="F331" i="2"/>
  <c r="A331" i="2"/>
  <c r="F330" i="2"/>
  <c r="A330" i="2"/>
  <c r="F329" i="2"/>
  <c r="A329" i="2"/>
  <c r="F328" i="2"/>
  <c r="A328" i="2"/>
  <c r="F327" i="2"/>
  <c r="A327" i="2"/>
  <c r="F326" i="2"/>
  <c r="A326" i="2"/>
  <c r="F325" i="2"/>
  <c r="A325" i="2"/>
  <c r="F324" i="2"/>
  <c r="A324" i="2"/>
  <c r="F323" i="2"/>
  <c r="A323" i="2"/>
  <c r="F322" i="2"/>
  <c r="A322" i="2"/>
  <c r="F321" i="2"/>
  <c r="A321" i="2"/>
  <c r="F320" i="2"/>
  <c r="A320" i="2"/>
  <c r="F319" i="2"/>
  <c r="A319" i="2"/>
  <c r="F318" i="2"/>
  <c r="A318" i="2"/>
  <c r="F317" i="2"/>
  <c r="A317" i="2"/>
  <c r="F316" i="2"/>
  <c r="A316" i="2"/>
  <c r="F315" i="2"/>
  <c r="A315" i="2"/>
  <c r="F314" i="2"/>
  <c r="A314" i="2"/>
  <c r="F313" i="2"/>
  <c r="A313" i="2"/>
  <c r="F312" i="2"/>
  <c r="A312" i="2"/>
  <c r="F311" i="2"/>
  <c r="A311" i="2"/>
  <c r="F310" i="2"/>
  <c r="A310" i="2"/>
  <c r="F309" i="2"/>
  <c r="A309" i="2"/>
  <c r="F308" i="2"/>
  <c r="A308" i="2"/>
  <c r="F307" i="2"/>
  <c r="A307" i="2"/>
  <c r="F306" i="2"/>
  <c r="A306" i="2"/>
  <c r="F305" i="2"/>
  <c r="A305" i="2"/>
  <c r="F304" i="2"/>
  <c r="A304" i="2"/>
  <c r="F303" i="2"/>
  <c r="A303" i="2"/>
  <c r="F302" i="2"/>
  <c r="A302" i="2"/>
  <c r="F301" i="2"/>
  <c r="A301" i="2"/>
  <c r="F300" i="2"/>
  <c r="A300" i="2"/>
  <c r="F299" i="2"/>
  <c r="A299" i="2"/>
  <c r="F298" i="2"/>
  <c r="A298" i="2"/>
  <c r="F297" i="2"/>
  <c r="A297" i="2"/>
  <c r="F296" i="2"/>
  <c r="A296" i="2"/>
  <c r="F295" i="2"/>
  <c r="A295" i="2"/>
  <c r="F294" i="2"/>
  <c r="A294" i="2"/>
  <c r="F293" i="2"/>
  <c r="A293" i="2"/>
  <c r="F292" i="2"/>
  <c r="A292" i="2"/>
  <c r="F291" i="2"/>
  <c r="A291" i="2"/>
  <c r="F290" i="2"/>
  <c r="A290" i="2"/>
  <c r="F289" i="2"/>
  <c r="A289" i="2"/>
  <c r="F288" i="2"/>
  <c r="A288" i="2"/>
  <c r="F287" i="2"/>
  <c r="A287" i="2"/>
  <c r="F286" i="2"/>
  <c r="A286" i="2"/>
  <c r="F284" i="2"/>
  <c r="A284" i="2"/>
  <c r="F283" i="2"/>
  <c r="A283" i="2"/>
  <c r="F282" i="2"/>
  <c r="A282" i="2"/>
  <c r="F281" i="2"/>
  <c r="A281" i="2"/>
  <c r="F280" i="2"/>
  <c r="A280" i="2"/>
  <c r="F279" i="2"/>
  <c r="A279" i="2"/>
  <c r="F278" i="2"/>
  <c r="A278" i="2"/>
  <c r="F277" i="2"/>
  <c r="A277" i="2"/>
  <c r="F276" i="2"/>
  <c r="A276" i="2"/>
  <c r="F275" i="2"/>
  <c r="A275" i="2"/>
  <c r="F274" i="2"/>
  <c r="A274" i="2"/>
  <c r="F273" i="2"/>
  <c r="A273" i="2"/>
  <c r="F272" i="2"/>
  <c r="A272" i="2"/>
  <c r="F271" i="2"/>
  <c r="A271" i="2"/>
  <c r="F270" i="2"/>
  <c r="A270" i="2"/>
  <c r="F269" i="2"/>
  <c r="A269" i="2"/>
  <c r="F268" i="2"/>
  <c r="A268" i="2"/>
  <c r="F267" i="2"/>
  <c r="A267" i="2"/>
  <c r="F266" i="2"/>
  <c r="A266" i="2"/>
  <c r="F265" i="2"/>
  <c r="A265" i="2"/>
  <c r="F264" i="2"/>
  <c r="A264" i="2"/>
  <c r="F263" i="2"/>
  <c r="A263" i="2"/>
  <c r="F262" i="2"/>
  <c r="A262" i="2"/>
  <c r="F261" i="2"/>
  <c r="A261" i="2"/>
  <c r="F260" i="2"/>
  <c r="A260" i="2"/>
  <c r="F259" i="2"/>
  <c r="A259" i="2"/>
  <c r="F258" i="2"/>
  <c r="A258" i="2"/>
  <c r="F257" i="2"/>
  <c r="A257" i="2"/>
  <c r="F256" i="2"/>
  <c r="A256" i="2"/>
  <c r="F255" i="2"/>
  <c r="A255" i="2"/>
  <c r="F254" i="2"/>
  <c r="A254" i="2"/>
  <c r="F253" i="2"/>
  <c r="A253" i="2"/>
  <c r="F252" i="2"/>
  <c r="A252" i="2"/>
  <c r="F251" i="2"/>
  <c r="A251" i="2"/>
  <c r="F250" i="2"/>
  <c r="A250" i="2"/>
  <c r="F249" i="2"/>
  <c r="A249" i="2"/>
  <c r="F247" i="2"/>
  <c r="A247" i="2"/>
  <c r="F246" i="2"/>
  <c r="A246" i="2"/>
  <c r="F245" i="2"/>
  <c r="A245" i="2"/>
  <c r="F244" i="2"/>
  <c r="A244" i="2"/>
  <c r="F243" i="2"/>
  <c r="A243" i="2"/>
  <c r="F242" i="2"/>
  <c r="A242" i="2"/>
  <c r="F241" i="2"/>
  <c r="A241" i="2"/>
  <c r="F240" i="2"/>
  <c r="A240" i="2"/>
  <c r="F239" i="2"/>
  <c r="A239" i="2"/>
  <c r="F238" i="2"/>
  <c r="A238" i="2"/>
  <c r="F237" i="2"/>
  <c r="A237" i="2"/>
  <c r="F236" i="2"/>
  <c r="A236" i="2"/>
  <c r="F235" i="2"/>
  <c r="A235" i="2"/>
  <c r="F234" i="2"/>
  <c r="A234" i="2"/>
  <c r="F233" i="2"/>
  <c r="A233" i="2"/>
  <c r="F232" i="2"/>
  <c r="A232" i="2"/>
  <c r="F231" i="2"/>
  <c r="A231" i="2"/>
  <c r="F230" i="2"/>
  <c r="A230" i="2"/>
  <c r="F229" i="2"/>
  <c r="A229" i="2"/>
  <c r="F227" i="2"/>
  <c r="A227" i="2"/>
  <c r="F226" i="2"/>
  <c r="A226" i="2"/>
  <c r="F225" i="2"/>
  <c r="A225" i="2"/>
  <c r="F224" i="2"/>
  <c r="A224" i="2"/>
  <c r="F223" i="2"/>
  <c r="A223" i="2"/>
  <c r="F222" i="2"/>
  <c r="A222" i="2"/>
  <c r="F221" i="2"/>
  <c r="A221" i="2"/>
  <c r="F220" i="2"/>
  <c r="A220" i="2"/>
  <c r="F219" i="2"/>
  <c r="A219" i="2"/>
  <c r="F218" i="2"/>
  <c r="A218" i="2"/>
  <c r="F217" i="2"/>
  <c r="A217" i="2"/>
  <c r="F216" i="2"/>
  <c r="A216" i="2"/>
  <c r="F215" i="2"/>
  <c r="A215" i="2"/>
  <c r="F214" i="2"/>
  <c r="A214" i="2"/>
  <c r="F213" i="2"/>
  <c r="A213" i="2"/>
  <c r="F212" i="2"/>
  <c r="A212" i="2"/>
  <c r="F211" i="2"/>
  <c r="A211" i="2"/>
  <c r="F210" i="2"/>
  <c r="A210" i="2"/>
  <c r="F209" i="2"/>
  <c r="A209" i="2"/>
  <c r="F208" i="2"/>
  <c r="A208" i="2"/>
  <c r="F207" i="2"/>
  <c r="A207" i="2"/>
  <c r="F206" i="2"/>
  <c r="A206" i="2"/>
  <c r="F205" i="2"/>
  <c r="A205" i="2"/>
  <c r="F204" i="2"/>
  <c r="A204" i="2"/>
  <c r="F203" i="2"/>
  <c r="A203" i="2"/>
  <c r="F202" i="2"/>
  <c r="A202" i="2"/>
  <c r="F200" i="2"/>
  <c r="A200" i="2"/>
  <c r="F199" i="2"/>
  <c r="A199" i="2"/>
  <c r="F198" i="2"/>
  <c r="A198" i="2"/>
  <c r="F197" i="2"/>
  <c r="A197" i="2"/>
  <c r="F196" i="2"/>
  <c r="A196" i="2"/>
  <c r="F195" i="2"/>
  <c r="A195" i="2"/>
  <c r="F194" i="2"/>
  <c r="A194" i="2"/>
  <c r="F193" i="2"/>
  <c r="A193" i="2"/>
  <c r="F192" i="2"/>
  <c r="A192" i="2"/>
  <c r="F191" i="2"/>
  <c r="A191" i="2"/>
  <c r="F190" i="2"/>
  <c r="A190" i="2"/>
  <c r="F189" i="2"/>
  <c r="A189" i="2"/>
  <c r="F188" i="2"/>
  <c r="A188" i="2"/>
  <c r="F187" i="2"/>
  <c r="A187" i="2"/>
  <c r="F186" i="2"/>
  <c r="A186" i="2"/>
  <c r="F185" i="2"/>
  <c r="A185" i="2"/>
  <c r="F184" i="2"/>
  <c r="A184" i="2"/>
  <c r="F183" i="2"/>
  <c r="A183" i="2"/>
  <c r="F182" i="2"/>
  <c r="A182" i="2"/>
  <c r="F181" i="2"/>
  <c r="A181" i="2"/>
  <c r="F180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F166" i="2"/>
  <c r="A166" i="2"/>
  <c r="F165" i="2"/>
  <c r="A165" i="2"/>
  <c r="F164" i="2"/>
  <c r="A164" i="2"/>
  <c r="F163" i="2"/>
  <c r="A163" i="2"/>
  <c r="F162" i="2"/>
  <c r="A162" i="2"/>
  <c r="F161" i="2"/>
  <c r="A161" i="2"/>
  <c r="F160" i="2"/>
  <c r="A160" i="2"/>
  <c r="F159" i="2"/>
  <c r="A159" i="2"/>
  <c r="F158" i="2"/>
  <c r="A158" i="2"/>
  <c r="F157" i="2"/>
  <c r="A157" i="2"/>
  <c r="F156" i="2"/>
  <c r="A156" i="2"/>
  <c r="F155" i="2"/>
  <c r="A155" i="2"/>
  <c r="F154" i="2"/>
  <c r="A154" i="2"/>
  <c r="F153" i="2"/>
  <c r="A153" i="2"/>
  <c r="F152" i="2"/>
  <c r="A152" i="2"/>
  <c r="F151" i="2"/>
  <c r="A151" i="2"/>
  <c r="F150" i="2"/>
  <c r="A150" i="2"/>
  <c r="F149" i="2"/>
  <c r="A149" i="2"/>
  <c r="F148" i="2"/>
  <c r="A148" i="2"/>
  <c r="F147" i="2"/>
  <c r="A147" i="2"/>
  <c r="F146" i="2"/>
  <c r="A146" i="2"/>
  <c r="F145" i="2"/>
  <c r="A145" i="2"/>
  <c r="F143" i="2"/>
  <c r="A143" i="2"/>
  <c r="F142" i="2"/>
  <c r="A142" i="2"/>
  <c r="F141" i="2"/>
  <c r="A141" i="2"/>
  <c r="F140" i="2"/>
  <c r="A140" i="2"/>
  <c r="F139" i="2"/>
  <c r="A139" i="2"/>
  <c r="F138" i="2"/>
  <c r="A138" i="2"/>
  <c r="F137" i="2"/>
  <c r="A137" i="2"/>
  <c r="F136" i="2"/>
  <c r="A136" i="2"/>
  <c r="F135" i="2"/>
  <c r="A135" i="2"/>
  <c r="F134" i="2"/>
  <c r="A134" i="2"/>
  <c r="F133" i="2"/>
  <c r="A133" i="2"/>
  <c r="F132" i="2"/>
  <c r="A132" i="2"/>
  <c r="F131" i="2"/>
  <c r="A131" i="2"/>
  <c r="F130" i="2"/>
  <c r="A130" i="2"/>
  <c r="F129" i="2"/>
  <c r="A129" i="2"/>
  <c r="F128" i="2"/>
  <c r="A128" i="2"/>
  <c r="F127" i="2"/>
  <c r="A127" i="2"/>
  <c r="F126" i="2"/>
  <c r="A126" i="2"/>
  <c r="F125" i="2"/>
  <c r="A125" i="2"/>
  <c r="F124" i="2"/>
  <c r="A124" i="2"/>
  <c r="F123" i="2"/>
  <c r="A123" i="2"/>
  <c r="F122" i="2"/>
  <c r="A122" i="2"/>
  <c r="F121" i="2"/>
  <c r="A121" i="2"/>
  <c r="F119" i="2"/>
  <c r="A119" i="2"/>
  <c r="F118" i="2"/>
  <c r="A118" i="2"/>
  <c r="F117" i="2"/>
  <c r="A117" i="2"/>
  <c r="F116" i="2"/>
  <c r="A116" i="2"/>
  <c r="F115" i="2"/>
  <c r="A115" i="2"/>
  <c r="F114" i="2"/>
  <c r="A114" i="2"/>
  <c r="F113" i="2"/>
  <c r="A113" i="2"/>
  <c r="F112" i="2"/>
  <c r="A112" i="2"/>
  <c r="F111" i="2"/>
  <c r="A111" i="2"/>
  <c r="F110" i="2"/>
  <c r="A110" i="2"/>
  <c r="F109" i="2"/>
  <c r="A109" i="2"/>
  <c r="F108" i="2"/>
  <c r="A108" i="2"/>
  <c r="F107" i="2"/>
  <c r="A107" i="2"/>
  <c r="F106" i="2"/>
  <c r="A106" i="2"/>
  <c r="F105" i="2"/>
  <c r="A105" i="2"/>
  <c r="F103" i="2"/>
  <c r="A103" i="2"/>
  <c r="F102" i="2"/>
  <c r="A102" i="2"/>
  <c r="F101" i="2"/>
  <c r="A101" i="2"/>
  <c r="F100" i="2"/>
  <c r="A100" i="2"/>
  <c r="F99" i="2"/>
  <c r="A99" i="2"/>
  <c r="F98" i="2"/>
  <c r="A98" i="2"/>
  <c r="F97" i="2"/>
  <c r="A97" i="2"/>
  <c r="F96" i="2"/>
  <c r="A96" i="2"/>
  <c r="F95" i="2"/>
  <c r="A95" i="2"/>
  <c r="F94" i="2"/>
  <c r="A94" i="2"/>
  <c r="F93" i="2"/>
  <c r="A93" i="2"/>
  <c r="F92" i="2"/>
  <c r="A92" i="2"/>
  <c r="F91" i="2"/>
  <c r="A91" i="2"/>
  <c r="F90" i="2"/>
  <c r="A90" i="2"/>
  <c r="F89" i="2"/>
  <c r="A89" i="2"/>
  <c r="F88" i="2"/>
  <c r="A88" i="2"/>
  <c r="F87" i="2"/>
  <c r="A87" i="2"/>
  <c r="F86" i="2"/>
  <c r="A86" i="2"/>
  <c r="F85" i="2"/>
  <c r="A85" i="2"/>
  <c r="F83" i="2"/>
  <c r="A83" i="2"/>
  <c r="F82" i="2"/>
  <c r="A82" i="2"/>
  <c r="F81" i="2"/>
  <c r="A81" i="2"/>
  <c r="F80" i="2"/>
  <c r="A80" i="2"/>
  <c r="F79" i="2"/>
  <c r="A79" i="2"/>
  <c r="F78" i="2"/>
  <c r="A78" i="2"/>
  <c r="F77" i="2"/>
  <c r="A77" i="2"/>
  <c r="F76" i="2"/>
  <c r="A76" i="2"/>
  <c r="F75" i="2"/>
  <c r="A75" i="2"/>
  <c r="F74" i="2"/>
  <c r="A74" i="2"/>
  <c r="F73" i="2"/>
  <c r="A73" i="2"/>
  <c r="F72" i="2"/>
  <c r="A72" i="2"/>
  <c r="F71" i="2"/>
  <c r="A71" i="2"/>
  <c r="F70" i="2"/>
  <c r="A70" i="2"/>
  <c r="F69" i="2"/>
  <c r="A69" i="2"/>
  <c r="F68" i="2"/>
  <c r="A68" i="2"/>
  <c r="F66" i="2"/>
  <c r="A66" i="2"/>
  <c r="F65" i="2"/>
  <c r="A65" i="2"/>
  <c r="F64" i="2"/>
  <c r="A64" i="2"/>
  <c r="F63" i="2"/>
  <c r="A63" i="2"/>
  <c r="F62" i="2"/>
  <c r="A62" i="2"/>
  <c r="F61" i="2"/>
  <c r="A61" i="2"/>
  <c r="F60" i="2"/>
  <c r="A60" i="2"/>
  <c r="F59" i="2"/>
  <c r="A59" i="2"/>
  <c r="F58" i="2"/>
  <c r="A58" i="2"/>
  <c r="F57" i="2"/>
  <c r="A57" i="2"/>
  <c r="F56" i="2"/>
  <c r="A56" i="2"/>
  <c r="F55" i="2"/>
  <c r="A55" i="2"/>
  <c r="F54" i="2"/>
  <c r="A54" i="2"/>
  <c r="F53" i="2"/>
  <c r="A53" i="2"/>
  <c r="F52" i="2"/>
  <c r="A52" i="2"/>
  <c r="F51" i="2"/>
  <c r="A51" i="2"/>
  <c r="F50" i="2"/>
  <c r="A50" i="2"/>
  <c r="F49" i="2"/>
  <c r="A49" i="2"/>
  <c r="F48" i="2"/>
  <c r="A48" i="2"/>
  <c r="F46" i="2"/>
  <c r="A46" i="2"/>
  <c r="F45" i="2"/>
  <c r="A45" i="2"/>
  <c r="F44" i="2"/>
  <c r="A44" i="2"/>
  <c r="F43" i="2"/>
  <c r="A43" i="2"/>
  <c r="F42" i="2"/>
  <c r="A42" i="2"/>
  <c r="F41" i="2"/>
  <c r="A41" i="2"/>
  <c r="F40" i="2"/>
  <c r="A40" i="2"/>
  <c r="F39" i="2"/>
  <c r="A39" i="2"/>
  <c r="F38" i="2"/>
  <c r="A38" i="2"/>
  <c r="F37" i="2"/>
  <c r="A37" i="2"/>
  <c r="F36" i="2"/>
  <c r="A36" i="2"/>
  <c r="F35" i="2"/>
  <c r="A35" i="2"/>
  <c r="F34" i="2"/>
  <c r="A34" i="2"/>
  <c r="F33" i="2"/>
  <c r="A33" i="2"/>
  <c r="F32" i="2"/>
  <c r="A32" i="2"/>
  <c r="F31" i="2"/>
  <c r="A31" i="2"/>
  <c r="F30" i="2"/>
  <c r="A30" i="2"/>
  <c r="F29" i="2"/>
  <c r="A29" i="2"/>
  <c r="F28" i="2"/>
  <c r="A28" i="2"/>
  <c r="F27" i="2"/>
  <c r="A27" i="2"/>
  <c r="F26" i="2"/>
  <c r="A26" i="2"/>
  <c r="F25" i="2"/>
  <c r="A25" i="2"/>
  <c r="F24" i="2"/>
  <c r="A24" i="2"/>
  <c r="F23" i="2"/>
  <c r="A23" i="2"/>
  <c r="F22" i="2"/>
  <c r="A22" i="2"/>
  <c r="F20" i="2"/>
  <c r="A20" i="2"/>
  <c r="F19" i="2"/>
  <c r="A19" i="2"/>
  <c r="F18" i="2"/>
  <c r="A18" i="2"/>
  <c r="F17" i="2"/>
  <c r="A17" i="2"/>
  <c r="F16" i="2"/>
  <c r="A16" i="2"/>
  <c r="F15" i="2"/>
  <c r="A15" i="2"/>
  <c r="F14" i="2"/>
  <c r="A14" i="2"/>
  <c r="F13" i="2"/>
  <c r="A13" i="2"/>
  <c r="F12" i="2"/>
  <c r="A12" i="2"/>
  <c r="F11" i="2"/>
  <c r="A11" i="2"/>
  <c r="F10" i="2"/>
  <c r="A10" i="2"/>
  <c r="F9" i="2"/>
  <c r="A9" i="2"/>
  <c r="F8" i="2"/>
  <c r="A8" i="2"/>
  <c r="F7" i="2"/>
  <c r="A7" i="2"/>
  <c r="F6" i="2"/>
  <c r="A6" i="2"/>
  <c r="F5" i="2"/>
  <c r="A5" i="2"/>
</calcChain>
</file>

<file path=xl/sharedStrings.xml><?xml version="1.0" encoding="utf-8"?>
<sst xmlns="http://schemas.openxmlformats.org/spreadsheetml/2006/main" count="2214" uniqueCount="900">
  <si>
    <t>Product Name</t>
  </si>
  <si>
    <t>BDShop</t>
  </si>
  <si>
    <t>TC Start Date</t>
  </si>
  <si>
    <t>Executed By</t>
  </si>
  <si>
    <t>#SL</t>
  </si>
  <si>
    <t>Type of Testing</t>
  </si>
  <si>
    <t>Features</t>
  </si>
  <si>
    <t>Test Cases</t>
  </si>
  <si>
    <t>Exepected  Result</t>
  </si>
  <si>
    <t>Actual Result</t>
  </si>
  <si>
    <t>Test Data</t>
  </si>
  <si>
    <t>Reproducing
Steps</t>
  </si>
  <si>
    <t xml:space="preserve">Bugs Screen Shot </t>
  </si>
  <si>
    <t>Dev Comments</t>
  </si>
  <si>
    <t>Final Status</t>
  </si>
  <si>
    <t>Remarks</t>
  </si>
  <si>
    <t>Header Module</t>
  </si>
  <si>
    <t xml:space="preserve">UI Testing
</t>
  </si>
  <si>
    <t>Header Section</t>
  </si>
  <si>
    <t>Verify header section is displayed on the website</t>
  </si>
  <si>
    <t>Header should be visible on page load</t>
  </si>
  <si>
    <t>N/A</t>
  </si>
  <si>
    <t>1. Open BD Shop URL    2. Open Homepage</t>
  </si>
  <si>
    <t>Passed</t>
  </si>
  <si>
    <t>Header Alignment</t>
  </si>
  <si>
    <t>Verify header section alignment</t>
  </si>
  <si>
    <t>Header elements should be properly aligned</t>
  </si>
  <si>
    <t>Icons &amp; Text</t>
  </si>
  <si>
    <t>Verify icons are aligned with the text</t>
  </si>
  <si>
    <t>Icons should align with related text</t>
  </si>
  <si>
    <t>1. Open BD Shop URL      2. Open Homepage</t>
  </si>
  <si>
    <t>Icons Relevance</t>
  </si>
  <si>
    <t>Verify icons are related to link text</t>
  </si>
  <si>
    <t>Icons should represent the link purpose</t>
  </si>
  <si>
    <t>1. Open BD Shop URL     2. Open Homepage       3.Check Account, Cart icons</t>
  </si>
  <si>
    <t>Logo Alignment</t>
  </si>
  <si>
    <t>Verify website logo alignment in header</t>
  </si>
  <si>
    <t>Logo should be properly aligned</t>
  </si>
  <si>
    <t>Link Readability</t>
  </si>
  <si>
    <t>Verify header link text readability</t>
  </si>
  <si>
    <t>Text should be readable and clear</t>
  </si>
  <si>
    <t>Sticky Header</t>
  </si>
  <si>
    <t>Verify header is sticky/fixed or not</t>
  </si>
  <si>
    <t>Header can be visible or not visible on scroll</t>
  </si>
  <si>
    <t>1. Open BD Shop URL    2. Open Homepage           3. Scroll the page</t>
  </si>
  <si>
    <t>Header Consistency</t>
  </si>
  <si>
    <t>Verify same header appears on all pages</t>
  </si>
  <si>
    <t>Header should remain same</t>
  </si>
  <si>
    <t>1. Open BD Shop URL    2. Open Homepage           3. Navigate to different pages (Group Buy, Dropshop)</t>
  </si>
  <si>
    <t>Hover Effect</t>
  </si>
  <si>
    <t>Verify color change on mouse hover</t>
  </si>
  <si>
    <t>Color should change on hover</t>
  </si>
  <si>
    <t>1. Open BD Shop URL    2. Open Homepage                        3. Hover on header links</t>
  </si>
  <si>
    <t>Active State</t>
  </si>
  <si>
    <t>Verify active link remains highlighted</t>
  </si>
  <si>
    <t>Active link should stay highlighted</t>
  </si>
  <si>
    <t>1. Open BD Shop URL    2. Open Homepage                  3. Click a header link</t>
  </si>
  <si>
    <t>Click Here</t>
  </si>
  <si>
    <t>Failed</t>
  </si>
  <si>
    <t>Search Bar</t>
  </si>
  <si>
    <t>Verify search bar is present in header</t>
  </si>
  <si>
    <t>Search bar should be visible</t>
  </si>
  <si>
    <t>1. Open BD Shop URL    2. Open Homepage           3. Check for search bar</t>
  </si>
  <si>
    <t>Header vs Body</t>
  </si>
  <si>
    <t>Verify header and body are visually distinct</t>
  </si>
  <si>
    <t>Header and body should differ</t>
  </si>
  <si>
    <t>1. Open BD Shop URL    2. Open Homepage                        3.Compare header and body for each page</t>
  </si>
  <si>
    <t>Dropdown Menu</t>
  </si>
  <si>
    <t>Verify dropdown opens on hover/click</t>
  </si>
  <si>
    <t>Dropdown should open</t>
  </si>
  <si>
    <t>1. Open BD Shop URL    2. Open Homepage                               3. Hover on Categories</t>
  </si>
  <si>
    <t>Functional Testing</t>
  </si>
  <si>
    <t>Header Links</t>
  </si>
  <si>
    <t>Verify all header links are clickable</t>
  </si>
  <si>
    <t>All links should be clickable</t>
  </si>
  <si>
    <t>1. Open BD Shop URL    2. Click each header link</t>
  </si>
  <si>
    <t>Navigation</t>
  </si>
  <si>
    <t>Verify correct page opens on clicking header links</t>
  </si>
  <si>
    <t>Correct page should open</t>
  </si>
  <si>
    <t>1. Open BD Shop URL    2. Click Home, Sale, Contact                       3. Click logo from other pages</t>
  </si>
  <si>
    <t>Logo Navigation</t>
  </si>
  <si>
    <t>Verify clicking logo opens homepage</t>
  </si>
  <si>
    <t>Homepage should open</t>
  </si>
  <si>
    <t>1. Open BD Shop URL    2. Click Home, Sale, Contact</t>
  </si>
  <si>
    <t>Search Module</t>
  </si>
  <si>
    <t>Search Field</t>
  </si>
  <si>
    <t>Verify search field is present and aligned</t>
  </si>
  <si>
    <t>Search field should be present and aligned</t>
  </si>
  <si>
    <t>1. Open page</t>
  </si>
  <si>
    <t>Verify placeholder text is present</t>
  </si>
  <si>
    <t>Placeholder text should be visible</t>
  </si>
  <si>
    <t>Search</t>
  </si>
  <si>
    <t>Verify spelling and grammar of placeholder</t>
  </si>
  <si>
    <t>Text should be correct</t>
  </si>
  <si>
    <t>Search Icon</t>
  </si>
  <si>
    <t>Verify search icon presence</t>
  </si>
  <si>
    <t>Search icon should be visible</t>
  </si>
  <si>
    <t>Verify loader appears</t>
  </si>
  <si>
    <t>Loader should appear</t>
  </si>
  <si>
    <t>Valid keyword</t>
  </si>
  <si>
    <t>Verify hover effect on icon</t>
  </si>
  <si>
    <t>Hover effect should show</t>
  </si>
  <si>
    <t>1. Open page 2. Click search</t>
  </si>
  <si>
    <t>Verify cursor appears on click</t>
  </si>
  <si>
    <t>Cursor should appear</t>
  </si>
  <si>
    <t>Verify search with valid keyword</t>
  </si>
  <si>
    <t>Correct results should display</t>
  </si>
  <si>
    <t>Verify search using Enter key</t>
  </si>
  <si>
    <t>Search should trigger</t>
  </si>
  <si>
    <t>Verify search using search button</t>
  </si>
  <si>
    <t>Verify paste keyword using mouse</t>
  </si>
  <si>
    <t>Paste should work</t>
  </si>
  <si>
    <t>Copied keyword</t>
  </si>
  <si>
    <t>Verify error for invalid keyword</t>
  </si>
  <si>
    <t>Error message should display</t>
  </si>
  <si>
    <t>Invalid keyword</t>
  </si>
  <si>
    <t>Verify response time</t>
  </si>
  <si>
    <t>Result should load fast</t>
  </si>
  <si>
    <t>Search Results</t>
  </si>
  <si>
    <t>Verify result order</t>
  </si>
  <si>
    <t>Order should be correct</t>
  </si>
  <si>
    <t>Pagination</t>
  </si>
  <si>
    <t>Verify pagination appears</t>
  </si>
  <si>
    <t>Pagination should display</t>
  </si>
  <si>
    <t>Multiple results</t>
  </si>
  <si>
    <t>Verify Next button</t>
  </si>
  <si>
    <t>Next page should open</t>
  </si>
  <si>
    <t>Verify Previous button</t>
  </si>
  <si>
    <t>Previous page should open</t>
  </si>
  <si>
    <t>Verify page number navigation</t>
  </si>
  <si>
    <t>Page should open</t>
  </si>
  <si>
    <t>Search Suggestion</t>
  </si>
  <si>
    <t>Verify suggestions shown</t>
  </si>
  <si>
    <t>Suggestions should appear</t>
  </si>
  <si>
    <t>Partial keyword</t>
  </si>
  <si>
    <t>Auto Suggestion</t>
  </si>
  <si>
    <t>Verify auto-suggestion</t>
  </si>
  <si>
    <t>Auto-suggestions should appear</t>
  </si>
  <si>
    <t>Verify min keyword length</t>
  </si>
  <si>
    <t>Min length should apply</t>
  </si>
  <si>
    <t>1 char</t>
  </si>
  <si>
    <t>Verify max keyword length</t>
  </si>
  <si>
    <t>Max length should apply</t>
  </si>
  <si>
    <t>Long keyword</t>
  </si>
  <si>
    <t>Search Index</t>
  </si>
  <si>
    <t>Verify new items searchable</t>
  </si>
  <si>
    <t>New items should appear</t>
  </si>
  <si>
    <t>New item</t>
  </si>
  <si>
    <t>Verify related keywords shown</t>
  </si>
  <si>
    <t>Related keywords should show</t>
  </si>
  <si>
    <t>Keyword</t>
  </si>
  <si>
    <t>Accessibility Testing</t>
  </si>
  <si>
    <t>Verify keyboard accessibility</t>
  </si>
  <si>
    <t>Should be keyboard accessible</t>
  </si>
  <si>
    <t>Tab key</t>
  </si>
  <si>
    <t>Footer</t>
  </si>
  <si>
    <t>Footer Section</t>
  </si>
  <si>
    <t>Verify footer section is displayed on the website</t>
  </si>
  <si>
    <t>Footer should be visible in the last on page load</t>
  </si>
  <si>
    <t>1. Open BD Shop URL                                        2. Go to footer</t>
  </si>
  <si>
    <t>Footer Alignment</t>
  </si>
  <si>
    <t>Verify footer section alignment</t>
  </si>
  <si>
    <t>Footer elements should be properly aligned</t>
  </si>
  <si>
    <t>Verify website logo alignment in footer</t>
  </si>
  <si>
    <t>Verify all footer link text readability</t>
  </si>
  <si>
    <t>Support Box</t>
  </si>
  <si>
    <t>Verify email input field placeholder is visible</t>
  </si>
  <si>
    <t>Placeholder text should be shown</t>
  </si>
  <si>
    <t>Valid mail</t>
  </si>
  <si>
    <t>1. Open BD Shop URL                                        2. Go to footer                                                    3. Give email and click send button</t>
  </si>
  <si>
    <t>Sticky Footer</t>
  </si>
  <si>
    <t>Verify footer is sticky/fixed or not</t>
  </si>
  <si>
    <t>Footer should be visible at the last of each page</t>
  </si>
  <si>
    <t>Footer Consistency</t>
  </si>
  <si>
    <t>Verify same footer appears on all pages</t>
  </si>
  <si>
    <t>Footer should remain same</t>
  </si>
  <si>
    <t>Footer vs Body</t>
  </si>
  <si>
    <t>Verify footer and body are visually distinct</t>
  </si>
  <si>
    <t>Footer and body should differ</t>
  </si>
  <si>
    <t>Follow Us Section</t>
  </si>
  <si>
    <t>Verify correctness of social media icons in Follow Us section</t>
  </si>
  <si>
    <t>Each social media platform icon should appear only once and with correct icons</t>
  </si>
  <si>
    <t>Footer Layout</t>
  </si>
  <si>
    <t>Verify no extra white space</t>
  </si>
  <si>
    <t>No white space</t>
  </si>
  <si>
    <t>Copyright</t>
  </si>
  <si>
    <t>Verify year &amp; icon displayed</t>
  </si>
  <si>
    <t>Correct year &amp; icon</t>
  </si>
  <si>
    <t>Footer Links</t>
  </si>
  <si>
    <t>Verify all footer links are clickable</t>
  </si>
  <si>
    <t>Scroll Up Button</t>
  </si>
  <si>
    <t>Verify Scroll Up (Back to Top) button functionality</t>
  </si>
  <si>
    <t>Clicking the Scroll Up button should smoothly scroll the page to the top</t>
  </si>
  <si>
    <t>Support box submit</t>
  </si>
  <si>
    <t>Verify email can be submitted from support box</t>
  </si>
  <si>
    <t>Email should be sent successfully</t>
  </si>
  <si>
    <t>Social Links</t>
  </si>
  <si>
    <t>Verify social icons redirect correctly</t>
  </si>
  <si>
    <t>Each icon should open correct social link</t>
  </si>
  <si>
    <t>Register Module</t>
  </si>
  <si>
    <t>Placeholder</t>
  </si>
  <si>
    <t>Verify placeholder text in fields</t>
  </si>
  <si>
    <t>Placeholder should guide user</t>
  </si>
  <si>
    <t>1. Open BD Shop URL    2. Open Account      3.Open registration page</t>
  </si>
  <si>
    <t>Registration Fields</t>
  </si>
  <si>
    <t>Verify all required fields are present</t>
  </si>
  <si>
    <t>All fields should be visible</t>
  </si>
  <si>
    <t>Eye Icon</t>
  </si>
  <si>
    <t>Verify eye icon shows password</t>
  </si>
  <si>
    <t>Password visible on click</t>
  </si>
  <si>
    <t>Spelling</t>
  </si>
  <si>
    <t>Verify spelling mistakes</t>
  </si>
  <si>
    <t>No spelling errors</t>
  </si>
  <si>
    <t>Registration</t>
  </si>
  <si>
    <t>Verify registration form loads properly</t>
  </si>
  <si>
    <t>Registration form should load with all fields</t>
  </si>
  <si>
    <t>Mobile Validation</t>
  </si>
  <si>
    <t>Verify blank mobile number validation</t>
  </si>
  <si>
    <t>Error message should be shown</t>
  </si>
  <si>
    <t>Verify invalid (non-BD) mobile number</t>
  </si>
  <si>
    <t>Error message for invalid BD number</t>
  </si>
  <si>
    <t>1. Open BD Shop URL    2. Open Account      3.Open registration page                         4. put invalid number</t>
  </si>
  <si>
    <t>Verify already registered mobile number</t>
  </si>
  <si>
    <t>Message should show already registered</t>
  </si>
  <si>
    <t>Registered Number</t>
  </si>
  <si>
    <t>1. Open BD Shop URL    2. Open Account      3.Open registration page                         4. put valid bd number</t>
  </si>
  <si>
    <t>OTP Service</t>
  </si>
  <si>
    <t>Verify OTP sent for valid unregistered BD number</t>
  </si>
  <si>
    <t>OTP should be sent successfully</t>
  </si>
  <si>
    <t>Valid BD number</t>
  </si>
  <si>
    <t>Critical issue</t>
  </si>
  <si>
    <t>OTP Dependency</t>
  </si>
  <si>
    <t>Verify user can register without OTP</t>
  </si>
  <si>
    <t>Registration should not allow without OTP</t>
  </si>
  <si>
    <t xml:space="preserve">1. Open BD Shop URL    2. Open Account      3.Open registration page               </t>
  </si>
  <si>
    <t>Verify manual registration with valid data</t>
  </si>
  <si>
    <t>User should register successfully</t>
  </si>
  <si>
    <t>Valid Information</t>
  </si>
  <si>
    <t>1. Fill all fields
2. OTP not received</t>
  </si>
  <si>
    <t>Google Signup</t>
  </si>
  <si>
    <t>Verify registration via Google account</t>
  </si>
  <si>
    <t>Google account</t>
  </si>
  <si>
    <t>1. Click Sign up with Google</t>
  </si>
  <si>
    <t>Form Retention</t>
  </si>
  <si>
    <t>Verify data not cleared on validation error</t>
  </si>
  <si>
    <t>Data should remain</t>
  </si>
  <si>
    <t>Any Invalid input</t>
  </si>
  <si>
    <t>1. Submit invalid form</t>
  </si>
  <si>
    <t>Security Testing</t>
  </si>
  <si>
    <t>Password Masking</t>
  </si>
  <si>
    <t>Verify password is masked</t>
  </si>
  <si>
    <t>Password should show as ***</t>
  </si>
  <si>
    <t>any password</t>
  </si>
  <si>
    <t>1. Open Register Page               2. Use Tab key</t>
  </si>
  <si>
    <t>Keyboard Nav</t>
  </si>
  <si>
    <t>Verify Tab key navigation</t>
  </si>
  <si>
    <t>User can move using Tab</t>
  </si>
  <si>
    <t>1. Open Register Page               2. Type password</t>
  </si>
  <si>
    <t>Login Module</t>
  </si>
  <si>
    <t>1. Open login page</t>
  </si>
  <si>
    <t>Login Fields</t>
  </si>
  <si>
    <t>1. Open login page                        2. Click eye icon</t>
  </si>
  <si>
    <t>Post Login UI</t>
  </si>
  <si>
    <t>Verify Sign Up not shown after login</t>
  </si>
  <si>
    <t>Sign up should not show in home page or profile should be visible in homepage</t>
  </si>
  <si>
    <t>Login with valid account</t>
  </si>
  <si>
    <t>Checkbox</t>
  </si>
  <si>
    <t>Verify remember me checkbox clickable via label</t>
  </si>
  <si>
    <t>Checkbox should toggle</t>
  </si>
  <si>
    <t>Login Page</t>
  </si>
  <si>
    <t>Verify login page loads properly</t>
  </si>
  <si>
    <t>Login page should load with all fields</t>
  </si>
  <si>
    <t>Valid Login</t>
  </si>
  <si>
    <t>Verify login with valid email and password</t>
  </si>
  <si>
    <t>User should login successfully</t>
  </si>
  <si>
    <t>Valid email &amp; password</t>
  </si>
  <si>
    <t>1. Enter valid credentials
2. Click Login</t>
  </si>
  <si>
    <t>Verify login with valid phone and password</t>
  </si>
  <si>
    <t>Valid phone &amp; password</t>
  </si>
  <si>
    <t>Invalid Login</t>
  </si>
  <si>
    <t>Verify error message for invalid credentials</t>
  </si>
  <si>
    <t>Error message should shown</t>
  </si>
  <si>
    <t>1. Enter invalid credentials
2. Click Login</t>
  </si>
  <si>
    <t>Google Signin</t>
  </si>
  <si>
    <t>Verify login via Google account</t>
  </si>
  <si>
    <t>User should logged in successfully</t>
  </si>
  <si>
    <t>1. Open login page                         2. Put invalid data in any field                                                               3. Click login</t>
  </si>
  <si>
    <t>Create Account Link</t>
  </si>
  <si>
    <t>Verify Create Account link redirects to registration page</t>
  </si>
  <si>
    <t>Registration page should open</t>
  </si>
  <si>
    <t>1. Open login page                                                         2. Click Create Account</t>
  </si>
  <si>
    <t>Forgot Password link</t>
  </si>
  <si>
    <t>Verify Forgot Password link functionality</t>
  </si>
  <si>
    <t>Forgot password page should open</t>
  </si>
  <si>
    <t>1. Open login page                                                         2. Click Forgot Password</t>
  </si>
  <si>
    <t>Keyboard</t>
  </si>
  <si>
    <t>Verify login using Enter key</t>
  </si>
  <si>
    <t>User should login</t>
  </si>
  <si>
    <t>Valid information</t>
  </si>
  <si>
    <t>1. Open login page                                                         2. Login</t>
  </si>
  <si>
    <t>Session</t>
  </si>
  <si>
    <t>Verify user stays logged in after browser close</t>
  </si>
  <si>
    <t>User remains logged in</t>
  </si>
  <si>
    <t>1. Open login page                                                         2. Login                                                                                 3. Cut the browser and go to BDSHOP URL</t>
  </si>
  <si>
    <t>1. Open login page                    2. Type password</t>
  </si>
  <si>
    <t>URL Access</t>
  </si>
  <si>
    <t>Verify direct dashboard URL access</t>
  </si>
  <si>
    <t>Should redirect to login</t>
  </si>
  <si>
    <t>Dashboard URL</t>
  </si>
  <si>
    <t>1. Go to https://www.bdshop.com/profile.php</t>
  </si>
  <si>
    <t>Submit</t>
  </si>
  <si>
    <t>1. Open page 2. Login</t>
  </si>
  <si>
    <t>Forgot Password Module</t>
  </si>
  <si>
    <t>1. Open BD Shop URL    2. Open sign in                   3. Click forgot password</t>
  </si>
  <si>
    <t>Forgot Password</t>
  </si>
  <si>
    <t>Verify forgot password page loads</t>
  </si>
  <si>
    <t>Page should load properly</t>
  </si>
  <si>
    <t>Verify unregistered mobile number</t>
  </si>
  <si>
    <t>Message should show not registered</t>
  </si>
  <si>
    <t>Verify OTP sent for valid registered BD number</t>
  </si>
  <si>
    <t>Verify user can't reset password without OTP</t>
  </si>
  <si>
    <t>Resetting password should not allow without OTP</t>
  </si>
  <si>
    <t>Email OTP</t>
  </si>
  <si>
    <t>Verify error shown for invalid email</t>
  </si>
  <si>
    <t>Error should show</t>
  </si>
  <si>
    <t>Verify error for unregistered email</t>
  </si>
  <si>
    <t>Email Reset</t>
  </si>
  <si>
    <t>Verify password reset after valid OTP</t>
  </si>
  <si>
    <t>Password should reset</t>
  </si>
  <si>
    <t>Profile Module</t>
  </si>
  <si>
    <t>Profile Page</t>
  </si>
  <si>
    <t>Verify profile page loads after login</t>
  </si>
  <si>
    <t>Profile page should load correctly</t>
  </si>
  <si>
    <t>Signned In User</t>
  </si>
  <si>
    <t>1. Login                                         2. Go to profile</t>
  </si>
  <si>
    <t>Profile Info</t>
  </si>
  <si>
    <t>Verify all information of user is displayed correctly</t>
  </si>
  <si>
    <t>Each information should match user data</t>
  </si>
  <si>
    <t>Verify email address displayed correctly</t>
  </si>
  <si>
    <t>Phone number should be correct</t>
  </si>
  <si>
    <t>Verify phone number displayed correctly</t>
  </si>
  <si>
    <t>Verify user role is displayed correctly</t>
  </si>
  <si>
    <t>User role should show "Customer"</t>
  </si>
  <si>
    <t>Address Info</t>
  </si>
  <si>
    <t>Verify user's address is displayed correctly and in correct order</t>
  </si>
  <si>
    <t>User address is showing correctly</t>
  </si>
  <si>
    <t>Account Status</t>
  </si>
  <si>
    <t>Verify account status is Active</t>
  </si>
  <si>
    <t>Status should be Active</t>
  </si>
  <si>
    <t>Quick Actions Section</t>
  </si>
  <si>
    <t>Verify icon color changes on mouse hover</t>
  </si>
  <si>
    <t>Icon color should change on hover indicating interactivity</t>
  </si>
  <si>
    <t>Verify all quick action links are clickable</t>
  </si>
  <si>
    <t>All links are clickable and hand icon is showing</t>
  </si>
  <si>
    <t>My Account Menu</t>
  </si>
  <si>
    <t>Verify all My Account menu items are clickable</t>
  </si>
  <si>
    <t>All items should be clickable</t>
  </si>
  <si>
    <t>Navigation issue needs fixing</t>
  </si>
  <si>
    <t>Left Sidebar Navigation</t>
  </si>
  <si>
    <t>Verify that the active menu item is highlighted in the left sidebar</t>
  </si>
  <si>
    <t>The currently selected menu should be clearly highlighted to indicate active state</t>
  </si>
  <si>
    <t>Layout Alignment</t>
  </si>
  <si>
    <t>Check uniform vertical margin between all sections</t>
  </si>
  <si>
    <t>All profile sections should have equal top and bottom margins for consistent layout</t>
  </si>
  <si>
    <t>Minor UI bug – polish required</t>
  </si>
  <si>
    <t>Email Verification Status</t>
  </si>
  <si>
    <t>Verify verified email shows correct status</t>
  </si>
  <si>
    <t>should shows "Verified"</t>
  </si>
  <si>
    <t>Signned In User with verified email</t>
  </si>
  <si>
    <t>Needs Fixing</t>
  </si>
  <si>
    <t>Verify unverified email shows correct status</t>
  </si>
  <si>
    <t>Always shows "Not Verified"</t>
  </si>
  <si>
    <t>Validation</t>
  </si>
  <si>
    <t>Verify invalid phone number validation</t>
  </si>
  <si>
    <t>Error message should show</t>
  </si>
  <si>
    <t>Signned In User with invalid phone no</t>
  </si>
  <si>
    <t>Verify quick action buttons redirect correctly</t>
  </si>
  <si>
    <t>Should redirect to correct page</t>
  </si>
  <si>
    <t>Last login history</t>
  </si>
  <si>
    <t>Verify last login date and time is displayed correctly</t>
  </si>
  <si>
    <t>Last login date and time should be displayed correctly</t>
  </si>
  <si>
    <t xml:space="preserve"> Edit Profile</t>
  </si>
  <si>
    <t>Verify Edit Profile button works</t>
  </si>
  <si>
    <t>Fields should redirect to Edit profile page</t>
  </si>
  <si>
    <t>1. Login                                         2. Go to profile                                            3. Click edit profile</t>
  </si>
  <si>
    <t>Manage Addressess</t>
  </si>
  <si>
    <t>Verify Manage Addresssess button works</t>
  </si>
  <si>
    <t>Fields should redirect to Address page</t>
  </si>
  <si>
    <t>1. Login                                         2. Go to profile                                            3. Click Manage Addressess</t>
  </si>
  <si>
    <t>All address showing</t>
  </si>
  <si>
    <t>Verify all address is shows functionality</t>
  </si>
  <si>
    <t>All address given by user should be shown</t>
  </si>
  <si>
    <t>Log Out button</t>
  </si>
  <si>
    <t>Verify log out is working properly and user can not redirect to profile page again</t>
  </si>
  <si>
    <t>User is logged out</t>
  </si>
  <si>
    <t>1. Login                                         2. Go to profile                                           3. Log out</t>
  </si>
  <si>
    <t>Verify direct profile URL access</t>
  </si>
  <si>
    <t>Edit Profile</t>
  </si>
  <si>
    <t xml:space="preserve">1. Open BD Shop URL &gt; Account&gt; My Profile&gt; Edit Profile      </t>
  </si>
  <si>
    <t xml:space="preserve"> Fields</t>
  </si>
  <si>
    <t>1. Open BD Shop URL &gt; Account&gt; My Profile&gt; Edit Profile             2. Type password in change password</t>
  </si>
  <si>
    <t>Alignment &amp; Icons</t>
  </si>
  <si>
    <t>Verify alignment and icon placement</t>
  </si>
  <si>
    <t>All elements should be aligned properly</t>
  </si>
  <si>
    <t>Profile Image Upload</t>
  </si>
  <si>
    <t>Upload image less than 5MB</t>
  </si>
  <si>
    <t>Image should upload successfully without validation errors</t>
  </si>
  <si>
    <t>Image &lt;5MB</t>
  </si>
  <si>
    <t xml:space="preserve">1. Open BD Shop URL &gt; Account&gt; My Profile&gt; Edit Profile             2. Upload Image     </t>
  </si>
  <si>
    <t>Upload image more than 5MB</t>
  </si>
  <si>
    <t>Proper error message for image size should be shown</t>
  </si>
  <si>
    <t>Image &gt;5MB</t>
  </si>
  <si>
    <t xml:space="preserve">1. Open BD Shop URL &gt; Account&gt; My Profile&gt; Edit Profile             2. Type name    </t>
  </si>
  <si>
    <t>First &amp; Last Name</t>
  </si>
  <si>
    <t>Enter special characters and spaces in name fields</t>
  </si>
  <si>
    <t>System should restrict special characters in name field</t>
  </si>
  <si>
    <t>@@@ ###</t>
  </si>
  <si>
    <t xml:space="preserve">1. Open BD Shop URL &gt; Account&gt; My Profile&gt; Edit Profile             2. Type mobile no   </t>
  </si>
  <si>
    <t>Mobile Number</t>
  </si>
  <si>
    <t>Enter mobile number less than 11 digits</t>
  </si>
  <si>
    <t>System should show proper invalid number error</t>
  </si>
  <si>
    <t>Invalid number</t>
  </si>
  <si>
    <t>Enter alphabets and special characters in mobile field</t>
  </si>
  <si>
    <t>System should restrict non-numeric values</t>
  </si>
  <si>
    <t>00011 @@877</t>
  </si>
  <si>
    <t>Mobile Number Error Message</t>
  </si>
  <si>
    <t>Enter 1 digit mobile number</t>
  </si>
  <si>
    <t>Error should indicate invalid length</t>
  </si>
  <si>
    <t>any 1 digit</t>
  </si>
  <si>
    <t>Email Field</t>
  </si>
  <si>
    <t>Verify email auto-filled and non-editable</t>
  </si>
  <si>
    <t>Email should be auto-filled and locked</t>
  </si>
  <si>
    <t>Save Changes</t>
  </si>
  <si>
    <t>Submit form without mandatory fields</t>
  </si>
  <si>
    <t>Error should be shown for required fields</t>
  </si>
  <si>
    <t>Account Status Info</t>
  </si>
  <si>
    <t>Verify Active status and member since info</t>
  </si>
  <si>
    <t>Correct status and joining date should display</t>
  </si>
  <si>
    <t>Verify email verification status</t>
  </si>
  <si>
    <t>Should show Verified</t>
  </si>
  <si>
    <t>Verify Save Changes button after entering valid profile information</t>
  </si>
  <si>
    <t>Profile information should be saved successfully without any error</t>
  </si>
  <si>
    <t>Update Password</t>
  </si>
  <si>
    <t>Verify Update Password button after entering valid current, new, and confirm password</t>
  </si>
  <si>
    <t>Password should be updated successfully</t>
  </si>
  <si>
    <t>Password Strength</t>
  </si>
  <si>
    <t>Enter weak password like 123456</t>
  </si>
  <si>
    <t>Weak passwords should not be accepted</t>
  </si>
  <si>
    <t>Categories Module (bdshop.com/products.php)</t>
  </si>
  <si>
    <t>View Toggle</t>
  </si>
  <si>
    <t>Verify Grid View button is visible</t>
  </si>
  <si>
    <t>Grid view button should be visible</t>
  </si>
  <si>
    <t>1. Open BD Shop URL    2. Open Shop by Categories             3. Click view all products</t>
  </si>
  <si>
    <t>Verify List View button is visible</t>
  </si>
  <si>
    <t>List view button should be visible</t>
  </si>
  <si>
    <t>Column Selector</t>
  </si>
  <si>
    <t>Verify column selector buttons visible</t>
  </si>
  <si>
    <t>4/5/6 column buttons visible</t>
  </si>
  <si>
    <t>Product Card</t>
  </si>
  <si>
    <t>Verify product image displayed</t>
  </si>
  <si>
    <t>Image should display</t>
  </si>
  <si>
    <t>Verify product name displayed</t>
  </si>
  <si>
    <t>Name should display</t>
  </si>
  <si>
    <t>Verify product price displayed</t>
  </si>
  <si>
    <t>Price should display</t>
  </si>
  <si>
    <t>Verify spelling in product text</t>
  </si>
  <si>
    <t>No spelling mistakes</t>
  </si>
  <si>
    <t>Filter</t>
  </si>
  <si>
    <t>Verify filter UI alignment</t>
  </si>
  <si>
    <t>UI aligned</t>
  </si>
  <si>
    <t>Buttons</t>
  </si>
  <si>
    <t>Verify hover effect on buttons</t>
  </si>
  <si>
    <t>Hover visible</t>
  </si>
  <si>
    <t>Breadcrumb</t>
  </si>
  <si>
    <t>Verify breadcrumb visible</t>
  </si>
  <si>
    <t>Breadcrumb visible</t>
  </si>
  <si>
    <t>Icons</t>
  </si>
  <si>
    <t>Verify icons represent correct actions</t>
  </si>
  <si>
    <t>Icons correct</t>
  </si>
  <si>
    <t>Layout</t>
  </si>
  <si>
    <t>Verify spacing consistency</t>
  </si>
  <si>
    <t>Spacing consistent</t>
  </si>
  <si>
    <t>Verify switching to Grid View</t>
  </si>
  <si>
    <t>Products show in grid layout</t>
  </si>
  <si>
    <t>Verify switching to List View</t>
  </si>
  <si>
    <t>Products show in list layout</t>
  </si>
  <si>
    <t>Verify 4-column view works</t>
  </si>
  <si>
    <t>4 products per row</t>
  </si>
  <si>
    <t>Verify 5-column view works</t>
  </si>
  <si>
    <t>5 products per row</t>
  </si>
  <si>
    <t>Verify 6-column view works</t>
  </si>
  <si>
    <t>6 products per row</t>
  </si>
  <si>
    <t>Add to Cart</t>
  </si>
  <si>
    <t>Verify Add to Cart button visible</t>
  </si>
  <si>
    <t>Button visible</t>
  </si>
  <si>
    <t>Verify Add to Cart shows success message</t>
  </si>
  <si>
    <t>Success message should appear</t>
  </si>
  <si>
    <t>Verify product added to cart</t>
  </si>
  <si>
    <t>Product should appear in cart</t>
  </si>
  <si>
    <t>Any Product</t>
  </si>
  <si>
    <t>Verify filter section visible</t>
  </si>
  <si>
    <t>Filter fields visible</t>
  </si>
  <si>
    <t>Verify Apply Filter with blank input</t>
  </si>
  <si>
    <t>Should show validation or no change</t>
  </si>
  <si>
    <t>Verify filter with valid inputs</t>
  </si>
  <si>
    <t>Products should filter</t>
  </si>
  <si>
    <t>Verify category filter works</t>
  </si>
  <si>
    <t>Products filtered by category</t>
  </si>
  <si>
    <t>Verify Clear Filter button</t>
  </si>
  <si>
    <t>Filters cleared</t>
  </si>
  <si>
    <t>Sorting</t>
  </si>
  <si>
    <t>Verify Sort dropdown visible</t>
  </si>
  <si>
    <t>Dropdown visible</t>
  </si>
  <si>
    <t>Verify sorting by Name A-Z</t>
  </si>
  <si>
    <t>Products sorted</t>
  </si>
  <si>
    <t>Verify sorting by Name Z-A</t>
  </si>
  <si>
    <t>Verify breadcrumb navigation</t>
  </si>
  <si>
    <t>Redirects correctly</t>
  </si>
  <si>
    <t>Verify product click opens details</t>
  </si>
  <si>
    <t>Details page opens</t>
  </si>
  <si>
    <t>Regression Testing</t>
  </si>
  <si>
    <t>Listing</t>
  </si>
  <si>
    <t>Verify no UI break after filter</t>
  </si>
  <si>
    <t>UI intact</t>
  </si>
  <si>
    <t>Compatibility Testing</t>
  </si>
  <si>
    <t>Page</t>
  </si>
  <si>
    <t>Verify page on refresh</t>
  </si>
  <si>
    <t>Page loads correctly</t>
  </si>
  <si>
    <t>Negative Testing</t>
  </si>
  <si>
    <t>Verify invalid filter input handling</t>
  </si>
  <si>
    <t>Should show error</t>
  </si>
  <si>
    <t>Cart Module</t>
  </si>
  <si>
    <t>Cart existance</t>
  </si>
  <si>
    <t>Verify Add to Cart button is present on listing product page</t>
  </si>
  <si>
    <t>Add to Cart button should be visible</t>
  </si>
  <si>
    <t>Any product</t>
  </si>
  <si>
    <t>1. Open BD Shop URL    2. Open Categories</t>
  </si>
  <si>
    <t>Cart Sidebar</t>
  </si>
  <si>
    <t>Verify sidebar UI alignment</t>
  </si>
  <si>
    <t>Sidebar should be aligned properly</t>
  </si>
  <si>
    <t>Cart Price</t>
  </si>
  <si>
    <t>Verify product price is displayed</t>
  </si>
  <si>
    <t>Price should be visible and correct</t>
  </si>
  <si>
    <t>1. Open BD Shop URL    2. Open My cart</t>
  </si>
  <si>
    <t>Cart Quantity</t>
  </si>
  <si>
    <t>Verify product quantity is shown clearly</t>
  </si>
  <si>
    <t>Quantity should be visible</t>
  </si>
  <si>
    <t>Item Total</t>
  </si>
  <si>
    <t>Verify total price shown for each product</t>
  </si>
  <si>
    <t>Item-wise total should show</t>
  </si>
  <si>
    <t>Item Count</t>
  </si>
  <si>
    <t>Verify total number of items is shown</t>
  </si>
  <si>
    <t>Item count should be visible</t>
  </si>
  <si>
    <t>Item Description</t>
  </si>
  <si>
    <t>Verify item's proper details are shown</t>
  </si>
  <si>
    <t>Item's proper details should be shown</t>
  </si>
  <si>
    <t>Delivery Method</t>
  </si>
  <si>
    <t>Verify delivery charge and options are mentioned</t>
  </si>
  <si>
    <t>Delivery charge and delivery options should be shown</t>
  </si>
  <si>
    <t>Delivery Time</t>
  </si>
  <si>
    <t>Verify estimated delivery time is shown</t>
  </si>
  <si>
    <t>Delivery time should be mentioned</t>
  </si>
  <si>
    <t>Cart Items</t>
  </si>
  <si>
    <t>Verify user can add more than one product</t>
  </si>
  <si>
    <t>Multiple products should be added</t>
  </si>
  <si>
    <t>Any 2 product</t>
  </si>
  <si>
    <t>Add to Cart user mode</t>
  </si>
  <si>
    <t>Verify Add to Cart works on product listing page</t>
  </si>
  <si>
    <t>Product should be added to cart</t>
  </si>
  <si>
    <t>Verify sidebar menu links are clickable</t>
  </si>
  <si>
    <t>Verify sidebar menu redirects correctly</t>
  </si>
  <si>
    <t>Should redirect to correct pages</t>
  </si>
  <si>
    <t>Coupon Section</t>
  </si>
  <si>
    <t>Verify invalid coupon does not change total</t>
  </si>
  <si>
    <t>Total price should remain same</t>
  </si>
  <si>
    <t>Verify available coupons are displayed</t>
  </si>
  <si>
    <t>Available coupons should be shown</t>
  </si>
  <si>
    <t>Verify message shown when no coupon available</t>
  </si>
  <si>
    <t>Proper message should display</t>
  </si>
  <si>
    <t>Free Delivery</t>
  </si>
  <si>
    <t>Verify free delivery limit shown correctly</t>
  </si>
  <si>
    <t>Correct limit should display</t>
  </si>
  <si>
    <t>Checkout</t>
  </si>
  <si>
    <t>Verify Back to Shopping link works</t>
  </si>
  <si>
    <t>User should redirect to checkout</t>
  </si>
  <si>
    <t>Should redirect to home page</t>
  </si>
  <si>
    <t>Order Summary</t>
  </si>
  <si>
    <t>Verify total price calculation</t>
  </si>
  <si>
    <t>Total price should be correct</t>
  </si>
  <si>
    <t>1. Open BD Shop URL    2. Open My cart                         3. Go to order summary</t>
  </si>
  <si>
    <t>Verify subtotal is displayed correctly</t>
  </si>
  <si>
    <t>Subtotal should be correct</t>
  </si>
  <si>
    <t>Verify delivery charge is displayed</t>
  </si>
  <si>
    <t>Delivery charge should be shown</t>
  </si>
  <si>
    <t>Add to cart guest mode</t>
  </si>
  <si>
    <t>Verify logged-out user cannot add product to cart</t>
  </si>
  <si>
    <t>User should be redirected to login or shown message</t>
  </si>
  <si>
    <t>User should be logged out</t>
  </si>
  <si>
    <t>Price Update</t>
  </si>
  <si>
    <t>Verify price updates after item removal</t>
  </si>
  <si>
    <t>Prices should recalculated to correct price</t>
  </si>
  <si>
    <t>Validation Testing</t>
  </si>
  <si>
    <t>Verify error shown for invalid coupon</t>
  </si>
  <si>
    <t>Proper error message should display</t>
  </si>
  <si>
    <t>Invalid cupon</t>
  </si>
  <si>
    <t>Check-Out Module</t>
  </si>
  <si>
    <t>Product Description</t>
  </si>
  <si>
    <t>Verify product details visibility</t>
  </si>
  <si>
    <t>Product details should be clear and readable</t>
  </si>
  <si>
    <t>1. Open BD Shop URL    2. Open Categories             3. Purchase Product          4. Go to checkout</t>
  </si>
  <si>
    <t>Product Price</t>
  </si>
  <si>
    <t>Product Quantity</t>
  </si>
  <si>
    <t>Address Field Display</t>
  </si>
  <si>
    <t>Verify address field UI alignment &amp; visibility</t>
  </si>
  <si>
    <t>Address field should be properly aligned</t>
  </si>
  <si>
    <t>Guest Checkout – Full Name Field</t>
  </si>
  <si>
    <t>Verify full name field accepts only valid characters</t>
  </si>
  <si>
    <t>Guest Checkout – Mobile Number Validation</t>
  </si>
  <si>
    <t>Verify mobile number validation without OTP</t>
  </si>
  <si>
    <t>System should validate correct mobile number format</t>
  </si>
  <si>
    <t>Empty Address</t>
  </si>
  <si>
    <t>Verify address field validation when left empty</t>
  </si>
  <si>
    <t>System should show validation error</t>
  </si>
  <si>
    <t>Price Calculation</t>
  </si>
  <si>
    <t>Verify total price, discount, coupon calculation</t>
  </si>
  <si>
    <t>Correct total amount displayed</t>
  </si>
  <si>
    <t>Login Redirect</t>
  </si>
  <si>
    <t>Verify login redirect from checkout</t>
  </si>
  <si>
    <t>User redirected to login page</t>
  </si>
  <si>
    <t>Cart Persistence After Login</t>
  </si>
  <si>
    <t>Verify cart items remain after login</t>
  </si>
  <si>
    <t>Items should remain in cart</t>
  </si>
  <si>
    <t>User Checkout – Autofill</t>
  </si>
  <si>
    <t>Verify name, phone, address autofill</t>
  </si>
  <si>
    <t>Saved user data should autofill</t>
  </si>
  <si>
    <t>User Checkout – Edit Info</t>
  </si>
  <si>
    <t>Verify user can edit autofilled info</t>
  </si>
  <si>
    <t>Fields should be editable</t>
  </si>
  <si>
    <t>User Checkout – Multiple Addresses</t>
  </si>
  <si>
    <t>Verify all saved addresses are displayed</t>
  </si>
  <si>
    <t>User can select from multiple addresses</t>
  </si>
  <si>
    <t>Guest Checkout – OTP Verification</t>
  </si>
  <si>
    <t>Verify OTP verification for mobile number</t>
  </si>
  <si>
    <t>OTP verification should be required</t>
  </si>
  <si>
    <t>Order and Track Order</t>
  </si>
  <si>
    <t>1. Open BD Shop URL    2. My Orders</t>
  </si>
  <si>
    <t>Order Filter</t>
  </si>
  <si>
    <t>Verify order status filter options are visible</t>
  </si>
  <si>
    <t>All filter options (All, Confirmed, Cancelled, Pending, Delivered , Shipped) should be visible</t>
  </si>
  <si>
    <t>My Orders Table</t>
  </si>
  <si>
    <t>Verify UI alignment of order table</t>
  </si>
  <si>
    <t>Table should be properly aligned</t>
  </si>
  <si>
    <t>General UI</t>
  </si>
  <si>
    <t>Verify icon alignment</t>
  </si>
  <si>
    <t>Icons should be aligned properly</t>
  </si>
  <si>
    <t>Continue Shopping button</t>
  </si>
  <si>
    <t>Verify button is clickable</t>
  </si>
  <si>
    <t>Button should be clickable</t>
  </si>
  <si>
    <t>Verify Order table headers</t>
  </si>
  <si>
    <t>All headers should display correctly</t>
  </si>
  <si>
    <t>My Orders</t>
  </si>
  <si>
    <t>Verify Order Date column</t>
  </si>
  <si>
    <t>Order date should be correct</t>
  </si>
  <si>
    <t>Verify Order Status</t>
  </si>
  <si>
    <t>Correct order status should display</t>
  </si>
  <si>
    <t>Verify Items count</t>
  </si>
  <si>
    <t>Correct number of items should display</t>
  </si>
  <si>
    <t>Verify Total amount</t>
  </si>
  <si>
    <t>Correct total amount should display</t>
  </si>
  <si>
    <t>Actions</t>
  </si>
  <si>
    <t>Verify View Details button</t>
  </si>
  <si>
    <t>View Details should open order details page</t>
  </si>
  <si>
    <t>Order Details</t>
  </si>
  <si>
    <t>Verify Customer Info section</t>
  </si>
  <si>
    <t>Customer info should display correctly</t>
  </si>
  <si>
    <t>Verify Payment Info section</t>
  </si>
  <si>
    <t>Payment info should be correct</t>
  </si>
  <si>
    <t>Verify Order Summary</t>
  </si>
  <si>
    <t>Order summary should match order</t>
  </si>
  <si>
    <t>Verify Product Description</t>
  </si>
  <si>
    <t>Product description should display correctly</t>
  </si>
  <si>
    <t>Verify Print Order option</t>
  </si>
  <si>
    <t>Order should be printable</t>
  </si>
  <si>
    <t>Verify Share Order option</t>
  </si>
  <si>
    <t>Share options should work</t>
  </si>
  <si>
    <t>Verify switching between filters</t>
  </si>
  <si>
    <t>Order list should update based on selected filter</t>
  </si>
  <si>
    <t>Track Order</t>
  </si>
  <si>
    <t>Verify track order with valid inputs</t>
  </si>
  <si>
    <t>Correct order details should show</t>
  </si>
  <si>
    <t>Verify order progress status</t>
  </si>
  <si>
    <t>Order progress should display</t>
  </si>
  <si>
    <t>Verify customer info in tracking</t>
  </si>
  <si>
    <t>Customer info should display</t>
  </si>
  <si>
    <t>Verify payment info in tracking</t>
  </si>
  <si>
    <t>Verify order summary in tracking</t>
  </si>
  <si>
    <t>Summary should display</t>
  </si>
  <si>
    <t>Verify product description in tracking</t>
  </si>
  <si>
    <t>Product details should display</t>
  </si>
  <si>
    <t>Verify print option in tracking</t>
  </si>
  <si>
    <t>Print option should work</t>
  </si>
  <si>
    <t>Submit blank order no and phone</t>
  </si>
  <si>
    <t>Validation error should show</t>
  </si>
  <si>
    <t>Enter invalid order number</t>
  </si>
  <si>
    <t>No order found message should show</t>
  </si>
  <si>
    <t>Enter invalid phone number</t>
  </si>
  <si>
    <t>Enter valid order no &amp;  invalid phone</t>
  </si>
  <si>
    <t>No order found should show</t>
  </si>
  <si>
    <t xml:space="preserve">Home  </t>
  </si>
  <si>
    <t>Carousel</t>
  </si>
  <si>
    <t>Verify carousel loads successfully on homepage</t>
  </si>
  <si>
    <t>Carousel should load on homepage</t>
  </si>
  <si>
    <t xml:space="preserve">1. Open BD Shop URL    </t>
  </si>
  <si>
    <t>Verify carousel images are clear and not blurred</t>
  </si>
  <si>
    <t>Carousel should be clear</t>
  </si>
  <si>
    <t>Verify all carousel images are same size</t>
  </si>
  <si>
    <t>Carousel image should be of same size</t>
  </si>
  <si>
    <t>Verify hover effect on carousel elements</t>
  </si>
  <si>
    <t>Carousel elements should be hover by placing curson on them</t>
  </si>
  <si>
    <t>Verify hover effect alignment</t>
  </si>
  <si>
    <t>Carousel elements should be hovered and not overlapped</t>
  </si>
  <si>
    <t>Verify clickable area matches image size</t>
  </si>
  <si>
    <t>Carousel image should be of same size of slide area</t>
  </si>
  <si>
    <t>Verify no broken images in carousel</t>
  </si>
  <si>
    <t>Carousel image should be clear and perfect fit of given size</t>
  </si>
  <si>
    <t>Verify next (&gt;) arrow is visible</t>
  </si>
  <si>
    <t>Carousel (&lt;) should be visible</t>
  </si>
  <si>
    <t>Verify previous (&lt;) arrow is visible</t>
  </si>
  <si>
    <t>Carousel (&gt;) should be visible</t>
  </si>
  <si>
    <t>Verify arrow buttons alignment</t>
  </si>
  <si>
    <t>Carousel arrow should be align in the same line</t>
  </si>
  <si>
    <t>Verify arrow buttons hover effect</t>
  </si>
  <si>
    <t>Carousel arrow should hover perfectly</t>
  </si>
  <si>
    <t>Product Display</t>
  </si>
  <si>
    <t>Verify all product images are displayed</t>
  </si>
  <si>
    <t>Image should be clearly displayed</t>
  </si>
  <si>
    <t>Verify product image clarity</t>
  </si>
  <si>
    <t>Image should be clear in its size</t>
  </si>
  <si>
    <t>Verify all product cards are same size</t>
  </si>
  <si>
    <t>All product should be of same size and not overlapped</t>
  </si>
  <si>
    <t>Verify product name displayed correctly</t>
  </si>
  <si>
    <t>All product name should be correct with picture and description</t>
  </si>
  <si>
    <t>Verify product description displayed</t>
  </si>
  <si>
    <t>Product description should be displayed in product card</t>
  </si>
  <si>
    <t>Verify product hover effect</t>
  </si>
  <si>
    <t>Product card should be hovered on cursor</t>
  </si>
  <si>
    <t>Verify product hover alignment</t>
  </si>
  <si>
    <t>Product hover should be in given size, it should not overlap in the section or to other peroduct card</t>
  </si>
  <si>
    <t>Add to order</t>
  </si>
  <si>
    <t>Verify add to order icon is correct and aligned correctly</t>
  </si>
  <si>
    <t>Add to order icon should be matched and aligned in place</t>
  </si>
  <si>
    <t>Verify add to order button is aligned correctly</t>
  </si>
  <si>
    <t>Add to order button should be aligned in the product card for each card</t>
  </si>
  <si>
    <t>Contact Us</t>
  </si>
  <si>
    <t>Verify Contact us button is aligned correctly</t>
  </si>
  <si>
    <t>Contact us button should be aligned in the product card for each card</t>
  </si>
  <si>
    <t>Verify Contact Us  icon is correct and aligned correctly</t>
  </si>
  <si>
    <t>Contact Us  icon should be matched and aligned in place</t>
  </si>
  <si>
    <t>View more product</t>
  </si>
  <si>
    <t>Verify View more product button is aligned correctly</t>
  </si>
  <si>
    <t>View more product button should be aligned in the product card for each card</t>
  </si>
  <si>
    <t>Verify View more product  icon is correct and aligned correctly</t>
  </si>
  <si>
    <t>View more product  icon should be matched and aligned in place</t>
  </si>
  <si>
    <t>Product avaiability</t>
  </si>
  <si>
    <t>Verify product availability is displayer in the product carde correctly</t>
  </si>
  <si>
    <t>Product is in stock or not should be displayed in the fixed place of product card</t>
  </si>
  <si>
    <t>Verify clicking next arrow moves to next slide</t>
  </si>
  <si>
    <t>Carousel arrow should work as per as its direction</t>
  </si>
  <si>
    <t>Verify clicking previous arrow moves to previous slide</t>
  </si>
  <si>
    <t>Verify carousel images are clickable</t>
  </si>
  <si>
    <t>Carousel image should be clickable</t>
  </si>
  <si>
    <t>Verify carousel responsiveness on mobile</t>
  </si>
  <si>
    <t>Carousel should be responsive as per as device</t>
  </si>
  <si>
    <t>Verify carousel responsiveness on tablet</t>
  </si>
  <si>
    <t>Verify carousel responsiveness on desktop</t>
  </si>
  <si>
    <t>Verify circular rotation when last slide ends (Next)</t>
  </si>
  <si>
    <t>Carousel arrow of first should be rotate back to last slide</t>
  </si>
  <si>
    <t>Verify circular rotation when first slide ends (Previous)</t>
  </si>
  <si>
    <t>Carousel arrow at the last should be rotate back to first slide</t>
  </si>
  <si>
    <t>Verify carousel does not affect page scroll</t>
  </si>
  <si>
    <t>Carousel should function in its own section</t>
  </si>
  <si>
    <t>Verify smooth scroll to product section</t>
  </si>
  <si>
    <t>Scrolling should be smooth for the entire page</t>
  </si>
  <si>
    <t>Verify product card responsiveness</t>
  </si>
  <si>
    <t>Product card should be responsive as per as device</t>
  </si>
  <si>
    <t>Verify product images load without delay</t>
  </si>
  <si>
    <t>Verify product grid consistency</t>
  </si>
  <si>
    <t>Product grid should be similar</t>
  </si>
  <si>
    <t>Verify add to order button is clickable</t>
  </si>
  <si>
    <t>Verify all see more button is clickable</t>
  </si>
  <si>
    <t>Verify add to order is redirecting to cart correctly</t>
  </si>
  <si>
    <t>Verify see more button are re directing to product page</t>
  </si>
  <si>
    <t>Verify all the whole product card is clickable</t>
  </si>
  <si>
    <t>Verify all product card is redirecting to correct page</t>
  </si>
  <si>
    <t>Verify all faq dropdown button are working correctly</t>
  </si>
  <si>
    <t>Verify view more product button is redirecting to product page</t>
  </si>
  <si>
    <t>Verify contact us button is redirecting to Contact us Page</t>
  </si>
  <si>
    <t>Contact Page</t>
  </si>
  <si>
    <t>Verify contact page loads successfully</t>
  </si>
  <si>
    <t>Contact page loads completely without errors</t>
  </si>
  <si>
    <t>1. Open BD Shop URL    2. Click Contact Us</t>
  </si>
  <si>
    <t>Contact Form</t>
  </si>
  <si>
    <t>Verify all form fields are visible</t>
  </si>
  <si>
    <t>Name, phone, email, dropdown and submit button are visible</t>
  </si>
  <si>
    <t>Dropdown</t>
  </si>
  <si>
    <t>Verify dropdown is visible</t>
  </si>
  <si>
    <t>dropdown button should be visible properly</t>
  </si>
  <si>
    <t>Submit Button</t>
  </si>
  <si>
    <t>Verify submit button is displayed</t>
  </si>
  <si>
    <t>Submit button should be present clearly</t>
  </si>
  <si>
    <t>Verify icons alignment and clarity</t>
  </si>
  <si>
    <t>Icons aligned properly and visible</t>
  </si>
  <si>
    <t>Verify all sections are seperatable</t>
  </si>
  <si>
    <t>All sections should be separeted and not overlapped</t>
  </si>
  <si>
    <t>No extra blank spaces around sections</t>
  </si>
  <si>
    <t>Name Field</t>
  </si>
  <si>
    <t>Verify name field accepts alphabets only</t>
  </si>
  <si>
    <t>Name field accepts only alphabetic characters</t>
  </si>
  <si>
    <t>Only Alphabets</t>
  </si>
  <si>
    <t>Verify name field rejects special characters</t>
  </si>
  <si>
    <t>Special characters are not accepted</t>
  </si>
  <si>
    <t>S@@@</t>
  </si>
  <si>
    <t>Phone Field</t>
  </si>
  <si>
    <t>Verify phone field accepts exactly 11 digits</t>
  </si>
  <si>
    <t>Phone field accepts only 11-digit numbers</t>
  </si>
  <si>
    <t>Valid 11 digit  number</t>
  </si>
  <si>
    <t>Verify phone field rejects less than 11 digits</t>
  </si>
  <si>
    <t>Error message shown for invalid phone length</t>
  </si>
  <si>
    <t>Verify phone field rejects more than 11 digits</t>
  </si>
  <si>
    <t>Verify valid email format accepted</t>
  </si>
  <si>
    <t>Valid email is accepted</t>
  </si>
  <si>
    <t>Verify invalid email format rejected</t>
  </si>
  <si>
    <t>Error message shown for invalid email</t>
  </si>
  <si>
    <t>wew@ .rycom</t>
  </si>
  <si>
    <t>Verify dropdown selection works</t>
  </si>
  <si>
    <t>Dropdown opens and option can be selected</t>
  </si>
  <si>
    <t>Verify form submits with valid data</t>
  </si>
  <si>
    <t>Form submits and success confirmation shown</t>
  </si>
  <si>
    <t>All valid information</t>
  </si>
  <si>
    <t>Follow Us</t>
  </si>
  <si>
    <t>Verify all links are clickable</t>
  </si>
  <si>
    <t>Clickable curson should come</t>
  </si>
  <si>
    <t>Verify all link redirection</t>
  </si>
  <si>
    <t>Should Redirects to official corrosponding pages</t>
  </si>
  <si>
    <t>FAQ Link</t>
  </si>
  <si>
    <t>Verify FAQ link redirection</t>
  </si>
  <si>
    <t>Should Redirects to FAQ section/page</t>
  </si>
  <si>
    <t>Order History</t>
  </si>
  <si>
    <t>Verify order history link redirection</t>
  </si>
  <si>
    <t>Track your Order</t>
  </si>
  <si>
    <t>Verify Track your order link redirection</t>
  </si>
  <si>
    <t>Project Name</t>
  </si>
  <si>
    <t>Created By</t>
  </si>
  <si>
    <t>Creation Date</t>
  </si>
  <si>
    <t>Approval Date</t>
  </si>
  <si>
    <t>Test Scenario ID</t>
  </si>
  <si>
    <t>Reference</t>
  </si>
  <si>
    <t>Test Scenario Description</t>
  </si>
  <si>
    <t>Number of Test Cases</t>
  </si>
  <si>
    <t>TS-01</t>
  </si>
  <si>
    <t>Header</t>
  </si>
  <si>
    <t>Verify header UI, alignment, links, hover effects, logo behavior across all pages</t>
  </si>
  <si>
    <t>TS-02</t>
  </si>
  <si>
    <t>Verify search functionality including keyword search, suggestions, pagination, and accessibility</t>
  </si>
  <si>
    <t>TS-03</t>
  </si>
  <si>
    <t>Verify footer UI, links, social icons, support email submission, and back-to-top button</t>
  </si>
  <si>
    <t>TS-04</t>
  </si>
  <si>
    <t>Verify user registration with validations, OTP flow, Google signup, and error handling</t>
  </si>
  <si>
    <t>TS-05</t>
  </si>
  <si>
    <t>Login</t>
  </si>
  <si>
    <t>Verify login using email/phone, validations, session handling, Google login, and accessibility</t>
  </si>
  <si>
    <t>TS-06</t>
  </si>
  <si>
    <t>Verify forgot password flow including OTP validation and password reset</t>
  </si>
  <si>
    <t>TS-07</t>
  </si>
  <si>
    <t>My Profile</t>
  </si>
  <si>
    <t>Verify profile information display, edit profile, address management, and logout behavior</t>
  </si>
  <si>
    <t>TS-08</t>
  </si>
  <si>
    <t>Profile Update</t>
  </si>
  <si>
    <t>Verify profile update, password change, image upload, and field validations</t>
  </si>
  <si>
    <t>TS-09</t>
  </si>
  <si>
    <t>Product Listing</t>
  </si>
  <si>
    <t>Verify product listing UI, grid/list view, filters, sorting, and add to cart actions</t>
  </si>
  <si>
    <t>TS-10</t>
  </si>
  <si>
    <t>Cart</t>
  </si>
  <si>
    <t>Verify cart functionality including item management, pricing, coupons, and restrictions</t>
  </si>
  <si>
    <t>TS-11</t>
  </si>
  <si>
    <t>Verify checkout flow, address validation, OTP verification, and price calculation</t>
  </si>
  <si>
    <t>TS-12</t>
  </si>
  <si>
    <t>Verify order history listing, filters, order details, tracking, and print/share options</t>
  </si>
  <si>
    <t>TS-13</t>
  </si>
  <si>
    <t>Homepage Carousel</t>
  </si>
  <si>
    <t>Verify homepage carousel behavior, responsiveness, navigation, and product cards</t>
  </si>
  <si>
    <t>TS-14</t>
  </si>
  <si>
    <t>Verify contact us page UI, form validation, submission, and link redirections</t>
  </si>
  <si>
    <t>TS-15</t>
  </si>
  <si>
    <t>About Us</t>
  </si>
  <si>
    <t>Verify about page UI, animations, badges, stats sections, and link redirections</t>
  </si>
  <si>
    <t>Md. Rezwan Hossain Turjo</t>
  </si>
  <si>
    <t>20/12/2025</t>
  </si>
  <si>
    <r>
      <rPr>
        <u/>
        <sz val="10"/>
        <color rgb="FF1155CC"/>
        <rFont val="Calibri"/>
        <family val="2"/>
        <scheme val="minor"/>
      </rPr>
      <t>Bdshop.com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</si>
</sst>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16" x14ac:knownFonts="1"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0"/>
      <color rgb="FF1155CC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2F5496"/>
        <bgColor rgb="FF2F5496"/>
      </patternFill>
    </fill>
    <fill>
      <patternFill patternType="solid">
        <fgColor theme="6" tint="-0.249977111117893"/>
        <bgColor rgb="FF2E75B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rgb="FFCCCCCC"/>
      </patternFill>
    </fill>
  </fills>
  <borders count="12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6" borderId="9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164" fontId="1" fillId="0" borderId="10" xfId="0" applyNumberFormat="1" applyFont="1" applyBorder="1" applyAlignment="1">
      <alignment horizontal="center" vertical="top" wrapText="1"/>
    </xf>
    <xf numFmtId="164" fontId="1" fillId="0" borderId="11" xfId="0" applyNumberFormat="1" applyFont="1" applyBorder="1" applyAlignment="1">
      <alignment horizontal="center" vertical="top" wrapText="1"/>
    </xf>
    <xf numFmtId="165" fontId="1" fillId="0" borderId="10" xfId="0" applyNumberFormat="1" applyFont="1" applyBorder="1" applyAlignment="1">
      <alignment horizontal="center" vertical="top" wrapText="1"/>
    </xf>
    <xf numFmtId="165" fontId="1" fillId="0" borderId="11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top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vertical="top"/>
    </xf>
    <xf numFmtId="0" fontId="1" fillId="0" borderId="7" xfId="0" applyFont="1" applyBorder="1" applyAlignment="1">
      <alignment horizontal="left"/>
    </xf>
    <xf numFmtId="0" fontId="5" fillId="6" borderId="5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left"/>
    </xf>
    <xf numFmtId="0" fontId="1" fillId="0" borderId="0" xfId="0" applyFont="1" applyAlignment="1">
      <alignment horizontal="right"/>
    </xf>
    <xf numFmtId="0" fontId="6" fillId="0" borderId="3" xfId="0" applyFont="1" applyBorder="1"/>
    <xf numFmtId="0" fontId="6" fillId="0" borderId="4" xfId="0" applyFont="1" applyBorder="1"/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9" fillId="2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13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wrapText="1"/>
    </xf>
    <xf numFmtId="0" fontId="12" fillId="0" borderId="1" xfId="0" applyFont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0" fontId="12" fillId="0" borderId="3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" fillId="0" borderId="1" xfId="0" applyFont="1" applyBorder="1" applyAlignment="1">
      <alignment vertical="top" wrapText="1"/>
    </xf>
    <xf numFmtId="0" fontId="9" fillId="3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left" wrapText="1"/>
    </xf>
    <xf numFmtId="0" fontId="9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wrapText="1"/>
    </xf>
    <xf numFmtId="0" fontId="1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center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top" wrapText="1"/>
    </xf>
    <xf numFmtId="0" fontId="8" fillId="0" borderId="6" xfId="0" applyFont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44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dshop.com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YxSjiPOCrNFDExv-O5240JQtGmo67cyh/view?usp=sharing" TargetMode="External"/><Relationship Id="rId18" Type="http://schemas.openxmlformats.org/officeDocument/2006/relationships/hyperlink" Target="https://drive.google.com/file/d/1-mFpg50TxfSJVh319vMP2q9FtIZcGHvH/view?usp=sharing" TargetMode="External"/><Relationship Id="rId26" Type="http://schemas.openxmlformats.org/officeDocument/2006/relationships/hyperlink" Target="https://drive.google.com/file/d/1S06KD4QPVxCmRCKXIwE6zk0WWKxQw_yg/view?usp=sharing" TargetMode="External"/><Relationship Id="rId3" Type="http://schemas.openxmlformats.org/officeDocument/2006/relationships/hyperlink" Target="https://drive.google.com/file/d/1z0FI2L_Iw4KMx8fTZtN1LouSWuiXHzyX/view?usp=sharing" TargetMode="External"/><Relationship Id="rId21" Type="http://schemas.openxmlformats.org/officeDocument/2006/relationships/hyperlink" Target="https://drive.google.com/file/d/1EO1kmc-j6eq4NZ1JM_PZHnpZGqN6ki_t/view?usp=sharing" TargetMode="External"/><Relationship Id="rId34" Type="http://schemas.openxmlformats.org/officeDocument/2006/relationships/hyperlink" Target="https://drive.google.com/file/d/1e93gffRKXAzr4VNf5LvRItQvp0H5YPM3/view?usp=sharing" TargetMode="External"/><Relationship Id="rId7" Type="http://schemas.openxmlformats.org/officeDocument/2006/relationships/hyperlink" Target="https://drive.google.com/file/d/1Y2e7JJSRIdE0qWWyjEqyVS91JvdhHFLu/view?usp=sharing" TargetMode="External"/><Relationship Id="rId12" Type="http://schemas.openxmlformats.org/officeDocument/2006/relationships/hyperlink" Target="https://drive.google.com/file/d/1CIzRIPABciySnTOIDoMjj3BsAG8GNO6v/view?usp=sharing" TargetMode="External"/><Relationship Id="rId17" Type="http://schemas.openxmlformats.org/officeDocument/2006/relationships/hyperlink" Target="https://drive.google.com/file/d/1VuI70R-g9J2OLDGfWO9H3MI_UWulDjTf/view?usp=sharing" TargetMode="External"/><Relationship Id="rId25" Type="http://schemas.openxmlformats.org/officeDocument/2006/relationships/hyperlink" Target="https://drive.google.com/file/d/1qjd15Ntb5NCsPz3gVl_dxzoFpba52F9q/view?usp=sharing" TargetMode="External"/><Relationship Id="rId33" Type="http://schemas.openxmlformats.org/officeDocument/2006/relationships/hyperlink" Target="https://drive.google.com/file/d/1ufHu2eEwvOK_2ZeKIRM1uY4CKLjYfqci/view?usp=sharing" TargetMode="External"/><Relationship Id="rId2" Type="http://schemas.openxmlformats.org/officeDocument/2006/relationships/hyperlink" Target="https://drive.google.com/file/d/1kYeeZMhBoPJErQtgLWoMV3A5Y7w_gG5t/view?usp=sharing" TargetMode="External"/><Relationship Id="rId16" Type="http://schemas.openxmlformats.org/officeDocument/2006/relationships/hyperlink" Target="https://drive.google.com/file/d/1bJFLQ8Otj5dJPtvtzgZ2kjJgPniabFb-/view?usp=sharing" TargetMode="External"/><Relationship Id="rId20" Type="http://schemas.openxmlformats.org/officeDocument/2006/relationships/hyperlink" Target="https://drive.google.com/file/d/1Xq7IZ_GwBiX4BzMz1h8bKqsSZkECndXQ/view?usp=sharing" TargetMode="External"/><Relationship Id="rId29" Type="http://schemas.openxmlformats.org/officeDocument/2006/relationships/hyperlink" Target="https://drive.google.com/file/d/1q0E9nXt97nJ4mJK-_bMem6Vw0_PA_UEE/view?usp=sharing" TargetMode="External"/><Relationship Id="rId1" Type="http://schemas.openxmlformats.org/officeDocument/2006/relationships/hyperlink" Target="https://www.bdshop.com/" TargetMode="External"/><Relationship Id="rId6" Type="http://schemas.openxmlformats.org/officeDocument/2006/relationships/hyperlink" Target="https://drive.google.com/file/d/1O2dUdLb7PEE9XKUBzFd94ZPDiiDI-g6D/view?usp=sharing" TargetMode="External"/><Relationship Id="rId11" Type="http://schemas.openxmlformats.org/officeDocument/2006/relationships/hyperlink" Target="https://drive.google.com/file/d/17ASQITA1Erc9JUosWhCA2cSFFcPDsZBO/view?usp=sharing" TargetMode="External"/><Relationship Id="rId24" Type="http://schemas.openxmlformats.org/officeDocument/2006/relationships/hyperlink" Target="https://drive.google.com/file/d/1Y_OnMzUgAW565J2RNsgFY6t8bQEDeC-g/view?usp=sharing" TargetMode="External"/><Relationship Id="rId32" Type="http://schemas.openxmlformats.org/officeDocument/2006/relationships/hyperlink" Target="https://drive.google.com/file/d/1wBpkmSxvcPd6EW6-J6QoywGg-qIuh7g4/view?usp=sharing" TargetMode="External"/><Relationship Id="rId5" Type="http://schemas.openxmlformats.org/officeDocument/2006/relationships/hyperlink" Target="https://drive.google.com/file/d/1_k5Fnrhb98OtZJBgPWgccu0qvgAcJV3b/view?usp=sharing" TargetMode="External"/><Relationship Id="rId15" Type="http://schemas.openxmlformats.org/officeDocument/2006/relationships/hyperlink" Target="https://drive.google.com/file/d/1aJyYiba88dsZLSJL_AOYF06tyv4m8Vz1/view?usp=sharing" TargetMode="External"/><Relationship Id="rId23" Type="http://schemas.openxmlformats.org/officeDocument/2006/relationships/hyperlink" Target="https://drive.google.com/file/d/1qjd15Ntb5NCsPz3gVl_dxzoFpba52F9q/view?usp=sharing" TargetMode="External"/><Relationship Id="rId28" Type="http://schemas.openxmlformats.org/officeDocument/2006/relationships/hyperlink" Target="https://drive.google.com/file/d/1zOR-rswaY9N8KNyDZNFiiunduw1fmZJP/view?usp=sharing" TargetMode="External"/><Relationship Id="rId10" Type="http://schemas.openxmlformats.org/officeDocument/2006/relationships/hyperlink" Target="https://drive.google.com/file/d/1Gpealj-AUNxKJK0zI3ZwQyMp0VnKn-BQ/view?usp=sharing" TargetMode="External"/><Relationship Id="rId19" Type="http://schemas.openxmlformats.org/officeDocument/2006/relationships/hyperlink" Target="https://drive.google.com/file/d/1vqPMA7Mwixj5TaPRFxWQBkfWz78FwxHw/view?usp=sharing" TargetMode="External"/><Relationship Id="rId31" Type="http://schemas.openxmlformats.org/officeDocument/2006/relationships/hyperlink" Target="https://drive.google.com/file/d/1vly1ZAO5ORcb9FKCvKbMWsk-86h--s0Y/view?usp=sharing" TargetMode="External"/><Relationship Id="rId4" Type="http://schemas.openxmlformats.org/officeDocument/2006/relationships/hyperlink" Target="https://drive.google.com/file/d/1gB3Ja4kgUro5rpErWBnsrZPOZppbVImh/view?usp=sharing" TargetMode="External"/><Relationship Id="rId9" Type="http://schemas.openxmlformats.org/officeDocument/2006/relationships/hyperlink" Target="https://drive.google.com/file/d/1Y-ugsHYlI80guZkmAsT_er3uo-GmsNYk/view?usp=sharing" TargetMode="External"/><Relationship Id="rId14" Type="http://schemas.openxmlformats.org/officeDocument/2006/relationships/hyperlink" Target="https://drive.google.com/file/d/1aJyYiba88dsZLSJL_AOYF06tyv4m8Vz1/view?usp=sharing" TargetMode="External"/><Relationship Id="rId22" Type="http://schemas.openxmlformats.org/officeDocument/2006/relationships/hyperlink" Target="https://drive.google.com/file/d/1ybILw8zR_leju5TF-qBXe4efACWvHbVz/view?usp=sharing" TargetMode="External"/><Relationship Id="rId27" Type="http://schemas.openxmlformats.org/officeDocument/2006/relationships/hyperlink" Target="https://drive.google.com/file/d/10dAGJMn9c9YZjteflUtT5UmP5BoJz0Ms/view?usp=sharing" TargetMode="External"/><Relationship Id="rId30" Type="http://schemas.openxmlformats.org/officeDocument/2006/relationships/hyperlink" Target="https://drive.google.com/file/d/1QKwNmv08py3f4yYHyr4L76TJMLgA4C1a/view?usp=sharing" TargetMode="External"/><Relationship Id="rId35" Type="http://schemas.openxmlformats.org/officeDocument/2006/relationships/hyperlink" Target="https://drive.google.com/file/d/1skytODwesVVrc8Z8IREkZ9140QjvnBIV/view?usp=sharing" TargetMode="External"/><Relationship Id="rId8" Type="http://schemas.openxmlformats.org/officeDocument/2006/relationships/hyperlink" Target="https://drive.google.com/file/d/1Jtk7NZw3IbuBGboSkha7mwyE4TfWO6lB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3"/>
  <sheetViews>
    <sheetView workbookViewId="0">
      <selection activeCell="G9" sqref="G9"/>
    </sheetView>
  </sheetViews>
  <sheetFormatPr defaultColWidth="14.44140625" defaultRowHeight="15" customHeight="1" x14ac:dyDescent="0.3"/>
  <cols>
    <col min="1" max="1" width="18.88671875" style="3" customWidth="1"/>
    <col min="2" max="2" width="19.33203125" style="3" customWidth="1"/>
    <col min="3" max="3" width="84.44140625" style="3" customWidth="1"/>
    <col min="4" max="4" width="21.5546875" style="3" customWidth="1"/>
    <col min="5" max="16384" width="14.44140625" style="3"/>
  </cols>
  <sheetData>
    <row r="1" spans="1:4" x14ac:dyDescent="0.3">
      <c r="A1" s="1"/>
      <c r="B1" s="1"/>
      <c r="C1" s="2"/>
      <c r="D1" s="1"/>
    </row>
    <row r="2" spans="1:4" x14ac:dyDescent="0.3">
      <c r="A2" s="4" t="s">
        <v>851</v>
      </c>
      <c r="B2" s="5" t="s">
        <v>899</v>
      </c>
      <c r="C2" s="6"/>
      <c r="D2" s="13"/>
    </row>
    <row r="3" spans="1:4" x14ac:dyDescent="0.3">
      <c r="A3" s="4" t="s">
        <v>852</v>
      </c>
      <c r="B3" s="7" t="s">
        <v>897</v>
      </c>
      <c r="C3" s="8"/>
      <c r="D3" s="13"/>
    </row>
    <row r="4" spans="1:4" x14ac:dyDescent="0.3">
      <c r="A4" s="4" t="s">
        <v>853</v>
      </c>
      <c r="B4" s="9">
        <v>46011</v>
      </c>
      <c r="C4" s="10"/>
      <c r="D4" s="13"/>
    </row>
    <row r="5" spans="1:4" x14ac:dyDescent="0.3">
      <c r="A5" s="4" t="s">
        <v>854</v>
      </c>
      <c r="B5" s="11">
        <v>46032</v>
      </c>
      <c r="C5" s="12"/>
      <c r="D5" s="13"/>
    </row>
    <row r="6" spans="1:4" x14ac:dyDescent="0.3">
      <c r="A6" s="1"/>
      <c r="B6" s="14"/>
      <c r="C6" s="2"/>
      <c r="D6" s="1"/>
    </row>
    <row r="7" spans="1:4" x14ac:dyDescent="0.3">
      <c r="A7" s="15"/>
      <c r="B7" s="16"/>
      <c r="C7" s="17"/>
      <c r="D7" s="1"/>
    </row>
    <row r="8" spans="1:4" x14ac:dyDescent="0.3">
      <c r="A8" s="18" t="s">
        <v>855</v>
      </c>
      <c r="B8" s="19" t="s">
        <v>856</v>
      </c>
      <c r="C8" s="20" t="s">
        <v>857</v>
      </c>
      <c r="D8" s="19" t="s">
        <v>858</v>
      </c>
    </row>
    <row r="9" spans="1:4" x14ac:dyDescent="0.3">
      <c r="A9" s="3" t="s">
        <v>859</v>
      </c>
      <c r="B9" s="3" t="s">
        <v>860</v>
      </c>
      <c r="C9" s="3" t="s">
        <v>861</v>
      </c>
      <c r="D9" s="21">
        <v>15</v>
      </c>
    </row>
    <row r="10" spans="1:4" x14ac:dyDescent="0.3">
      <c r="A10" s="3" t="s">
        <v>862</v>
      </c>
      <c r="B10" s="3" t="s">
        <v>91</v>
      </c>
      <c r="C10" s="3" t="s">
        <v>863</v>
      </c>
      <c r="D10" s="21">
        <v>30</v>
      </c>
    </row>
    <row r="11" spans="1:4" x14ac:dyDescent="0.3">
      <c r="A11" s="3" t="s">
        <v>864</v>
      </c>
      <c r="B11" s="3" t="s">
        <v>155</v>
      </c>
      <c r="C11" s="3" t="s">
        <v>865</v>
      </c>
      <c r="D11" s="21">
        <v>20</v>
      </c>
    </row>
    <row r="12" spans="1:4" x14ac:dyDescent="0.3">
      <c r="A12" s="3" t="s">
        <v>866</v>
      </c>
      <c r="B12" s="3" t="s">
        <v>213</v>
      </c>
      <c r="C12" s="3" t="s">
        <v>867</v>
      </c>
      <c r="D12" s="21">
        <v>18</v>
      </c>
    </row>
    <row r="13" spans="1:4" x14ac:dyDescent="0.3">
      <c r="A13" s="3" t="s">
        <v>868</v>
      </c>
      <c r="B13" s="3" t="s">
        <v>869</v>
      </c>
      <c r="C13" s="3" t="s">
        <v>870</v>
      </c>
      <c r="D13" s="21">
        <v>20</v>
      </c>
    </row>
    <row r="14" spans="1:4" x14ac:dyDescent="0.3">
      <c r="A14" s="3" t="s">
        <v>871</v>
      </c>
      <c r="B14" s="3" t="s">
        <v>314</v>
      </c>
      <c r="C14" s="3" t="s">
        <v>872</v>
      </c>
      <c r="D14" s="21">
        <v>15</v>
      </c>
    </row>
    <row r="15" spans="1:4" x14ac:dyDescent="0.3">
      <c r="A15" s="3" t="s">
        <v>873</v>
      </c>
      <c r="B15" s="3" t="s">
        <v>874</v>
      </c>
      <c r="C15" s="3" t="s">
        <v>875</v>
      </c>
      <c r="D15" s="21">
        <v>22</v>
      </c>
    </row>
    <row r="16" spans="1:4" x14ac:dyDescent="0.3">
      <c r="A16" s="3" t="s">
        <v>876</v>
      </c>
      <c r="B16" s="3" t="s">
        <v>877</v>
      </c>
      <c r="C16" s="3" t="s">
        <v>878</v>
      </c>
      <c r="D16" s="21">
        <v>20</v>
      </c>
    </row>
    <row r="17" spans="1:4" x14ac:dyDescent="0.3">
      <c r="A17" s="3" t="s">
        <v>879</v>
      </c>
      <c r="B17" s="3" t="s">
        <v>880</v>
      </c>
      <c r="C17" s="3" t="s">
        <v>881</v>
      </c>
      <c r="D17" s="21">
        <v>28</v>
      </c>
    </row>
    <row r="18" spans="1:4" x14ac:dyDescent="0.3">
      <c r="A18" s="3" t="s">
        <v>882</v>
      </c>
      <c r="B18" s="3" t="s">
        <v>883</v>
      </c>
      <c r="C18" s="3" t="s">
        <v>884</v>
      </c>
      <c r="D18" s="21">
        <v>25</v>
      </c>
    </row>
    <row r="19" spans="1:4" x14ac:dyDescent="0.3">
      <c r="A19" s="3" t="s">
        <v>885</v>
      </c>
      <c r="B19" s="3" t="s">
        <v>582</v>
      </c>
      <c r="C19" s="3" t="s">
        <v>886</v>
      </c>
      <c r="D19" s="21">
        <v>18</v>
      </c>
    </row>
    <row r="20" spans="1:4" x14ac:dyDescent="0.3">
      <c r="A20" s="3" t="s">
        <v>887</v>
      </c>
      <c r="B20" s="3" t="s">
        <v>847</v>
      </c>
      <c r="C20" s="3" t="s">
        <v>888</v>
      </c>
      <c r="D20" s="21">
        <v>30</v>
      </c>
    </row>
    <row r="21" spans="1:4" x14ac:dyDescent="0.3">
      <c r="A21" s="3" t="s">
        <v>889</v>
      </c>
      <c r="B21" s="3" t="s">
        <v>890</v>
      </c>
      <c r="C21" s="3" t="s">
        <v>891</v>
      </c>
      <c r="D21" s="21">
        <v>40</v>
      </c>
    </row>
    <row r="22" spans="1:4" x14ac:dyDescent="0.3">
      <c r="A22" s="3" t="s">
        <v>892</v>
      </c>
      <c r="B22" s="3" t="s">
        <v>753</v>
      </c>
      <c r="C22" s="3" t="s">
        <v>893</v>
      </c>
      <c r="D22" s="21">
        <v>22</v>
      </c>
    </row>
    <row r="23" spans="1:4" x14ac:dyDescent="0.3">
      <c r="A23" s="3" t="s">
        <v>894</v>
      </c>
      <c r="B23" s="3" t="s">
        <v>895</v>
      </c>
      <c r="C23" s="3" t="s">
        <v>896</v>
      </c>
      <c r="D23" s="21">
        <v>18</v>
      </c>
    </row>
  </sheetData>
  <mergeCells count="4">
    <mergeCell ref="B2:C2"/>
    <mergeCell ref="B3:C3"/>
    <mergeCell ref="B4:C4"/>
    <mergeCell ref="B5:C5"/>
  </mergeCells>
  <hyperlinks>
    <hyperlink ref="B2" r:id="rId1" xr:uid="{00000000-0004-0000-02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tabSelected="1" workbookViewId="0">
      <pane ySplit="3" topLeftCell="A4" activePane="bottomLeft" state="frozen"/>
      <selection pane="bottomLeft" activeCell="D10" sqref="D10"/>
    </sheetView>
  </sheetViews>
  <sheetFormatPr defaultColWidth="14.44140625" defaultRowHeight="15" customHeight="1" x14ac:dyDescent="0.3"/>
  <cols>
    <col min="1" max="1" width="9.33203125" style="3" customWidth="1"/>
    <col min="2" max="3" width="20" style="3" customWidth="1"/>
    <col min="4" max="4" width="63.109375" style="3" customWidth="1"/>
    <col min="5" max="5" width="35.5546875" style="3" customWidth="1"/>
    <col min="6" max="6" width="31.109375" style="3" customWidth="1"/>
    <col min="7" max="7" width="15.109375" style="3" customWidth="1"/>
    <col min="8" max="8" width="25" style="3" customWidth="1"/>
    <col min="9" max="9" width="18.33203125" style="3" customWidth="1"/>
    <col min="10" max="10" width="15.6640625" style="3" customWidth="1"/>
    <col min="11" max="11" width="19.109375" style="3" customWidth="1"/>
    <col min="12" max="12" width="95.6640625" style="3" customWidth="1"/>
    <col min="13" max="13" width="67.6640625" style="3" customWidth="1"/>
    <col min="14" max="28" width="12.6640625" style="3" customWidth="1"/>
    <col min="29" max="16384" width="14.44140625" style="3"/>
  </cols>
  <sheetData>
    <row r="1" spans="1:28" s="1" customFormat="1" ht="30" customHeight="1" x14ac:dyDescent="0.3">
      <c r="A1" s="84" t="s">
        <v>0</v>
      </c>
      <c r="B1" s="85" t="s">
        <v>1</v>
      </c>
      <c r="C1" s="84" t="s">
        <v>2</v>
      </c>
      <c r="D1" s="86" t="s">
        <v>898</v>
      </c>
      <c r="E1" s="84" t="s">
        <v>3</v>
      </c>
      <c r="F1" s="86" t="s">
        <v>897</v>
      </c>
      <c r="G1" s="86"/>
      <c r="H1" s="86"/>
      <c r="I1" s="87"/>
      <c r="J1" s="86"/>
      <c r="K1" s="88"/>
      <c r="L1" s="89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</row>
    <row r="2" spans="1:28" ht="30" customHeight="1" x14ac:dyDescent="0.3">
      <c r="A2" s="25"/>
      <c r="B2" s="25"/>
      <c r="C2" s="25"/>
      <c r="D2" s="25"/>
      <c r="E2" s="25"/>
      <c r="F2" s="25"/>
      <c r="G2" s="25"/>
      <c r="H2" s="25"/>
      <c r="I2" s="26"/>
      <c r="J2" s="25"/>
      <c r="K2" s="27"/>
      <c r="L2" s="27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 s="93" customFormat="1" ht="30" customHeight="1" x14ac:dyDescent="0.3">
      <c r="A3" s="84" t="s">
        <v>4</v>
      </c>
      <c r="B3" s="84" t="s">
        <v>5</v>
      </c>
      <c r="C3" s="84" t="s">
        <v>6</v>
      </c>
      <c r="D3" s="84" t="s">
        <v>7</v>
      </c>
      <c r="E3" s="84" t="s">
        <v>8</v>
      </c>
      <c r="F3" s="84" t="s">
        <v>9</v>
      </c>
      <c r="G3" s="84" t="s">
        <v>10</v>
      </c>
      <c r="H3" s="84" t="s">
        <v>11</v>
      </c>
      <c r="I3" s="91" t="s">
        <v>12</v>
      </c>
      <c r="J3" s="84" t="s">
        <v>13</v>
      </c>
      <c r="K3" s="84" t="s">
        <v>14</v>
      </c>
      <c r="L3" s="84" t="s">
        <v>15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</row>
    <row r="4" spans="1:28" ht="30" customHeight="1" x14ac:dyDescent="0.3">
      <c r="A4" s="29" t="s">
        <v>16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 spans="1:28" ht="30" customHeight="1" x14ac:dyDescent="0.3">
      <c r="A5" s="32">
        <f t="shared" ref="A5:A20" si="0">ROW()-4</f>
        <v>1</v>
      </c>
      <c r="B5" s="33" t="s">
        <v>17</v>
      </c>
      <c r="C5" s="32" t="s">
        <v>18</v>
      </c>
      <c r="D5" s="34" t="s">
        <v>19</v>
      </c>
      <c r="E5" s="32" t="s">
        <v>20</v>
      </c>
      <c r="F5" s="32" t="str">
        <f t="shared" ref="F5:F20" si="1">IF(K5="Passed","Found as per as expectations","Found not as per as exdpectations")</f>
        <v>Found as per as expectations</v>
      </c>
      <c r="G5" s="32" t="s">
        <v>21</v>
      </c>
      <c r="H5" s="32" t="s">
        <v>22</v>
      </c>
      <c r="I5" s="35"/>
      <c r="J5" s="33"/>
      <c r="K5" s="36" t="s">
        <v>23</v>
      </c>
      <c r="L5" s="33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spans="1:28" ht="30" customHeight="1" x14ac:dyDescent="0.3">
      <c r="A6" s="32">
        <f t="shared" si="0"/>
        <v>2</v>
      </c>
      <c r="B6" s="32"/>
      <c r="C6" s="25" t="s">
        <v>24</v>
      </c>
      <c r="D6" s="25" t="s">
        <v>25</v>
      </c>
      <c r="E6" s="25" t="s">
        <v>26</v>
      </c>
      <c r="F6" s="32" t="str">
        <f t="shared" si="1"/>
        <v>Found as per as expectations</v>
      </c>
      <c r="G6" s="32" t="s">
        <v>21</v>
      </c>
      <c r="H6" s="32" t="s">
        <v>22</v>
      </c>
      <c r="I6" s="38"/>
      <c r="J6" s="39"/>
      <c r="K6" s="36" t="s">
        <v>23</v>
      </c>
      <c r="L6" s="40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</row>
    <row r="7" spans="1:28" ht="30" customHeight="1" x14ac:dyDescent="0.3">
      <c r="A7" s="32">
        <f t="shared" si="0"/>
        <v>3</v>
      </c>
      <c r="B7" s="32"/>
      <c r="C7" s="25" t="s">
        <v>27</v>
      </c>
      <c r="D7" s="25" t="s">
        <v>28</v>
      </c>
      <c r="E7" s="25" t="s">
        <v>29</v>
      </c>
      <c r="F7" s="32" t="str">
        <f t="shared" si="1"/>
        <v>Found as per as expectations</v>
      </c>
      <c r="G7" s="32" t="s">
        <v>21</v>
      </c>
      <c r="H7" s="32" t="s">
        <v>30</v>
      </c>
      <c r="I7" s="35"/>
      <c r="J7" s="40"/>
      <c r="K7" s="36" t="s">
        <v>23</v>
      </c>
      <c r="L7" s="40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</row>
    <row r="8" spans="1:28" ht="30" customHeight="1" x14ac:dyDescent="0.3">
      <c r="A8" s="32">
        <f t="shared" si="0"/>
        <v>4</v>
      </c>
      <c r="B8" s="32"/>
      <c r="C8" s="25" t="s">
        <v>31</v>
      </c>
      <c r="D8" s="25" t="s">
        <v>32</v>
      </c>
      <c r="E8" s="25" t="s">
        <v>33</v>
      </c>
      <c r="F8" s="32" t="str">
        <f t="shared" si="1"/>
        <v>Found as per as expectations</v>
      </c>
      <c r="G8" s="32" t="s">
        <v>21</v>
      </c>
      <c r="H8" s="32" t="s">
        <v>34</v>
      </c>
      <c r="I8" s="43"/>
      <c r="J8" s="41"/>
      <c r="K8" s="36" t="s">
        <v>23</v>
      </c>
      <c r="L8" s="41"/>
      <c r="M8" s="41"/>
      <c r="N8" s="41"/>
      <c r="O8" s="41"/>
      <c r="P8" s="41"/>
      <c r="Q8" s="41"/>
      <c r="R8" s="41"/>
      <c r="S8" s="41"/>
      <c r="T8" s="42"/>
      <c r="U8" s="42"/>
      <c r="V8" s="42"/>
      <c r="W8" s="42"/>
      <c r="X8" s="42"/>
      <c r="Y8" s="42"/>
      <c r="Z8" s="42"/>
      <c r="AA8" s="42"/>
      <c r="AB8" s="42"/>
    </row>
    <row r="9" spans="1:28" ht="30" customHeight="1" x14ac:dyDescent="0.3">
      <c r="A9" s="32">
        <f t="shared" si="0"/>
        <v>5</v>
      </c>
      <c r="B9" s="32"/>
      <c r="C9" s="25" t="s">
        <v>35</v>
      </c>
      <c r="D9" s="25" t="s">
        <v>36</v>
      </c>
      <c r="E9" s="25" t="s">
        <v>37</v>
      </c>
      <c r="F9" s="32" t="str">
        <f t="shared" si="1"/>
        <v>Found as per as expectations</v>
      </c>
      <c r="G9" s="32" t="s">
        <v>21</v>
      </c>
      <c r="H9" s="32" t="s">
        <v>22</v>
      </c>
      <c r="I9" s="43"/>
      <c r="J9" s="41"/>
      <c r="K9" s="36" t="s">
        <v>23</v>
      </c>
      <c r="L9" s="41"/>
      <c r="M9" s="41"/>
      <c r="N9" s="41"/>
      <c r="O9" s="41"/>
      <c r="P9" s="41"/>
      <c r="Q9" s="41"/>
      <c r="R9" s="41"/>
      <c r="S9" s="41"/>
      <c r="T9" s="42"/>
      <c r="U9" s="42"/>
      <c r="V9" s="42"/>
      <c r="W9" s="42"/>
      <c r="X9" s="42"/>
      <c r="Y9" s="42"/>
      <c r="Z9" s="42"/>
      <c r="AA9" s="42"/>
      <c r="AB9" s="42"/>
    </row>
    <row r="10" spans="1:28" ht="30" customHeight="1" x14ac:dyDescent="0.3">
      <c r="A10" s="32">
        <f t="shared" si="0"/>
        <v>6</v>
      </c>
      <c r="B10" s="32"/>
      <c r="C10" s="25" t="s">
        <v>38</v>
      </c>
      <c r="D10" s="25" t="s">
        <v>39</v>
      </c>
      <c r="E10" s="25" t="s">
        <v>40</v>
      </c>
      <c r="F10" s="32" t="str">
        <f t="shared" si="1"/>
        <v>Found as per as expectations</v>
      </c>
      <c r="G10" s="32" t="s">
        <v>21</v>
      </c>
      <c r="H10" s="32" t="s">
        <v>22</v>
      </c>
      <c r="I10" s="43"/>
      <c r="J10" s="41"/>
      <c r="K10" s="36" t="s">
        <v>23</v>
      </c>
      <c r="L10" s="41"/>
      <c r="M10" s="41"/>
      <c r="N10" s="41"/>
      <c r="O10" s="41"/>
      <c r="P10" s="41"/>
      <c r="Q10" s="41"/>
      <c r="R10" s="41"/>
      <c r="S10" s="41"/>
      <c r="T10" s="42"/>
      <c r="U10" s="42"/>
      <c r="V10" s="42"/>
      <c r="W10" s="42"/>
      <c r="X10" s="42"/>
      <c r="Y10" s="42"/>
      <c r="Z10" s="42"/>
      <c r="AA10" s="42"/>
      <c r="AB10" s="42"/>
    </row>
    <row r="11" spans="1:28" ht="30" customHeight="1" x14ac:dyDescent="0.3">
      <c r="A11" s="32">
        <f t="shared" si="0"/>
        <v>7</v>
      </c>
      <c r="B11" s="32"/>
      <c r="C11" s="25" t="s">
        <v>41</v>
      </c>
      <c r="D11" s="25" t="s">
        <v>42</v>
      </c>
      <c r="E11" s="25" t="s">
        <v>43</v>
      </c>
      <c r="F11" s="32" t="str">
        <f t="shared" si="1"/>
        <v>Found as per as expectations</v>
      </c>
      <c r="G11" s="32" t="s">
        <v>21</v>
      </c>
      <c r="H11" s="32" t="s">
        <v>44</v>
      </c>
      <c r="I11" s="43"/>
      <c r="J11" s="41"/>
      <c r="K11" s="36" t="s">
        <v>23</v>
      </c>
      <c r="L11" s="41"/>
      <c r="M11" s="41"/>
      <c r="N11" s="41"/>
      <c r="O11" s="41"/>
      <c r="P11" s="41"/>
      <c r="Q11" s="41"/>
      <c r="R11" s="41"/>
      <c r="S11" s="41"/>
      <c r="T11" s="42"/>
      <c r="U11" s="42"/>
      <c r="V11" s="42"/>
      <c r="W11" s="42"/>
      <c r="X11" s="42"/>
      <c r="Y11" s="42"/>
      <c r="Z11" s="42"/>
      <c r="AA11" s="42"/>
      <c r="AB11" s="42"/>
    </row>
    <row r="12" spans="1:28" ht="30" customHeight="1" x14ac:dyDescent="0.3">
      <c r="A12" s="32">
        <f t="shared" si="0"/>
        <v>8</v>
      </c>
      <c r="B12" s="32"/>
      <c r="C12" s="25" t="s">
        <v>45</v>
      </c>
      <c r="D12" s="25" t="s">
        <v>46</v>
      </c>
      <c r="E12" s="25" t="s">
        <v>47</v>
      </c>
      <c r="F12" s="32" t="str">
        <f t="shared" si="1"/>
        <v>Found as per as expectations</v>
      </c>
      <c r="G12" s="32" t="s">
        <v>21</v>
      </c>
      <c r="H12" s="32" t="s">
        <v>48</v>
      </c>
      <c r="I12" s="43"/>
      <c r="J12" s="41"/>
      <c r="K12" s="36" t="s">
        <v>23</v>
      </c>
      <c r="L12" s="41"/>
      <c r="M12" s="41"/>
      <c r="N12" s="41"/>
      <c r="O12" s="41"/>
      <c r="P12" s="41"/>
      <c r="Q12" s="41"/>
      <c r="R12" s="41"/>
      <c r="S12" s="41"/>
      <c r="T12" s="42"/>
      <c r="U12" s="42"/>
      <c r="V12" s="42"/>
      <c r="W12" s="42"/>
      <c r="X12" s="42"/>
      <c r="Y12" s="42"/>
      <c r="Z12" s="42"/>
      <c r="AA12" s="42"/>
      <c r="AB12" s="42"/>
    </row>
    <row r="13" spans="1:28" ht="30" customHeight="1" x14ac:dyDescent="0.3">
      <c r="A13" s="32">
        <f t="shared" si="0"/>
        <v>9</v>
      </c>
      <c r="B13" s="32"/>
      <c r="C13" s="25" t="s">
        <v>49</v>
      </c>
      <c r="D13" s="25" t="s">
        <v>50</v>
      </c>
      <c r="E13" s="25" t="s">
        <v>51</v>
      </c>
      <c r="F13" s="32" t="str">
        <f t="shared" si="1"/>
        <v>Found as per as expectations</v>
      </c>
      <c r="G13" s="32" t="s">
        <v>21</v>
      </c>
      <c r="H13" s="32" t="s">
        <v>52</v>
      </c>
      <c r="I13" s="44"/>
      <c r="J13" s="45"/>
      <c r="K13" s="46" t="s">
        <v>23</v>
      </c>
      <c r="L13" s="36"/>
      <c r="M13" s="25"/>
      <c r="N13" s="25"/>
      <c r="O13" s="25"/>
      <c r="P13" s="25"/>
      <c r="Q13" s="25"/>
      <c r="R13" s="25"/>
      <c r="S13" s="25"/>
      <c r="T13" s="28"/>
      <c r="U13" s="28"/>
      <c r="V13" s="28"/>
      <c r="W13" s="28"/>
      <c r="X13" s="28"/>
      <c r="Y13" s="28"/>
      <c r="Z13" s="28"/>
      <c r="AA13" s="28"/>
      <c r="AB13" s="28"/>
    </row>
    <row r="14" spans="1:28" ht="30" customHeight="1" x14ac:dyDescent="0.3">
      <c r="A14" s="32">
        <f t="shared" si="0"/>
        <v>10</v>
      </c>
      <c r="B14" s="32"/>
      <c r="C14" s="25" t="s">
        <v>53</v>
      </c>
      <c r="D14" s="25" t="s">
        <v>54</v>
      </c>
      <c r="E14" s="25" t="s">
        <v>55</v>
      </c>
      <c r="F14" s="32" t="str">
        <f t="shared" si="1"/>
        <v>Found not as per as exdpectations</v>
      </c>
      <c r="G14" s="32" t="s">
        <v>21</v>
      </c>
      <c r="H14" s="32" t="s">
        <v>56</v>
      </c>
      <c r="I14" s="47" t="s">
        <v>57</v>
      </c>
      <c r="J14" s="45"/>
      <c r="K14" s="46" t="s">
        <v>58</v>
      </c>
      <c r="L14" s="36"/>
      <c r="M14" s="25"/>
      <c r="N14" s="25"/>
      <c r="O14" s="25"/>
      <c r="P14" s="25"/>
      <c r="Q14" s="25"/>
      <c r="R14" s="25"/>
      <c r="S14" s="25"/>
      <c r="T14" s="28"/>
      <c r="U14" s="28"/>
      <c r="V14" s="28"/>
      <c r="W14" s="28"/>
      <c r="X14" s="28"/>
      <c r="Y14" s="28"/>
      <c r="Z14" s="28"/>
      <c r="AA14" s="28"/>
      <c r="AB14" s="28"/>
    </row>
    <row r="15" spans="1:28" ht="30" customHeight="1" x14ac:dyDescent="0.3">
      <c r="A15" s="32">
        <f t="shared" si="0"/>
        <v>11</v>
      </c>
      <c r="B15" s="32"/>
      <c r="C15" s="25" t="s">
        <v>59</v>
      </c>
      <c r="D15" s="25" t="s">
        <v>60</v>
      </c>
      <c r="E15" s="25" t="s">
        <v>61</v>
      </c>
      <c r="F15" s="32" t="str">
        <f t="shared" si="1"/>
        <v>Found as per as expectations</v>
      </c>
      <c r="G15" s="32" t="s">
        <v>21</v>
      </c>
      <c r="H15" s="32" t="s">
        <v>62</v>
      </c>
      <c r="I15" s="44"/>
      <c r="J15" s="45"/>
      <c r="K15" s="46" t="s">
        <v>23</v>
      </c>
      <c r="L15" s="36"/>
      <c r="M15" s="25"/>
      <c r="N15" s="25"/>
      <c r="O15" s="25"/>
      <c r="P15" s="25"/>
      <c r="Q15" s="25"/>
      <c r="R15" s="25"/>
      <c r="S15" s="25"/>
      <c r="T15" s="28"/>
      <c r="U15" s="28"/>
      <c r="V15" s="28"/>
      <c r="W15" s="28"/>
      <c r="X15" s="28"/>
      <c r="Y15" s="28"/>
      <c r="Z15" s="28"/>
      <c r="AA15" s="28"/>
      <c r="AB15" s="28"/>
    </row>
    <row r="16" spans="1:28" ht="30" customHeight="1" x14ac:dyDescent="0.3">
      <c r="A16" s="32">
        <f t="shared" si="0"/>
        <v>12</v>
      </c>
      <c r="B16" s="83"/>
      <c r="C16" s="25" t="s">
        <v>63</v>
      </c>
      <c r="D16" s="25" t="s">
        <v>64</v>
      </c>
      <c r="E16" s="25" t="s">
        <v>65</v>
      </c>
      <c r="F16" s="32" t="str">
        <f t="shared" si="1"/>
        <v>Found not as per as exdpectations</v>
      </c>
      <c r="G16" s="32" t="s">
        <v>21</v>
      </c>
      <c r="H16" s="32" t="s">
        <v>66</v>
      </c>
      <c r="I16" s="49" t="s">
        <v>57</v>
      </c>
      <c r="J16" s="50"/>
      <c r="K16" s="46" t="s">
        <v>58</v>
      </c>
      <c r="L16" s="51"/>
      <c r="M16" s="48"/>
      <c r="N16" s="48"/>
      <c r="O16" s="48"/>
      <c r="P16" s="48"/>
      <c r="Q16" s="48"/>
      <c r="R16" s="48"/>
      <c r="S16" s="48"/>
      <c r="T16" s="52"/>
      <c r="U16" s="52"/>
      <c r="V16" s="52"/>
      <c r="W16" s="52"/>
      <c r="X16" s="52"/>
      <c r="Y16" s="52"/>
      <c r="Z16" s="52"/>
      <c r="AA16" s="52"/>
      <c r="AB16" s="52"/>
    </row>
    <row r="17" spans="1:28" ht="30" customHeight="1" x14ac:dyDescent="0.3">
      <c r="A17" s="32">
        <f t="shared" si="0"/>
        <v>13</v>
      </c>
      <c r="B17" s="32"/>
      <c r="C17" s="25" t="s">
        <v>67</v>
      </c>
      <c r="D17" s="25" t="s">
        <v>68</v>
      </c>
      <c r="E17" s="25" t="s">
        <v>69</v>
      </c>
      <c r="F17" s="32" t="str">
        <f t="shared" si="1"/>
        <v>Found as per as expectations</v>
      </c>
      <c r="G17" s="32" t="s">
        <v>21</v>
      </c>
      <c r="H17" s="32" t="s">
        <v>70</v>
      </c>
      <c r="I17" s="44"/>
      <c r="J17" s="45"/>
      <c r="K17" s="46" t="s">
        <v>23</v>
      </c>
      <c r="L17" s="36"/>
      <c r="M17" s="25"/>
      <c r="N17" s="25"/>
      <c r="O17" s="25"/>
      <c r="P17" s="25"/>
      <c r="Q17" s="25"/>
      <c r="R17" s="25"/>
      <c r="S17" s="25"/>
      <c r="T17" s="28"/>
      <c r="U17" s="28"/>
      <c r="V17" s="28"/>
      <c r="W17" s="28"/>
      <c r="X17" s="28"/>
      <c r="Y17" s="28"/>
      <c r="Z17" s="28"/>
      <c r="AA17" s="28"/>
      <c r="AB17" s="28"/>
    </row>
    <row r="18" spans="1:28" ht="30" customHeight="1" x14ac:dyDescent="0.3">
      <c r="A18" s="32">
        <f t="shared" si="0"/>
        <v>14</v>
      </c>
      <c r="B18" s="53" t="s">
        <v>71</v>
      </c>
      <c r="C18" s="25" t="s">
        <v>72</v>
      </c>
      <c r="D18" s="32" t="s">
        <v>73</v>
      </c>
      <c r="E18" s="25" t="s">
        <v>74</v>
      </c>
      <c r="F18" s="32" t="str">
        <f t="shared" si="1"/>
        <v>Found as per as expectations</v>
      </c>
      <c r="G18" s="32" t="s">
        <v>21</v>
      </c>
      <c r="H18" s="32" t="s">
        <v>75</v>
      </c>
      <c r="I18" s="54"/>
      <c r="J18" s="41"/>
      <c r="K18" s="36" t="s">
        <v>23</v>
      </c>
      <c r="L18" s="41"/>
      <c r="M18" s="25"/>
      <c r="N18" s="25"/>
      <c r="O18" s="25"/>
      <c r="P18" s="25"/>
      <c r="Q18" s="25"/>
      <c r="R18" s="25"/>
      <c r="S18" s="25"/>
      <c r="T18" s="28"/>
      <c r="U18" s="28"/>
      <c r="V18" s="28"/>
      <c r="W18" s="28"/>
      <c r="X18" s="28"/>
      <c r="Y18" s="28"/>
      <c r="Z18" s="28"/>
      <c r="AA18" s="28"/>
      <c r="AB18" s="28"/>
    </row>
    <row r="19" spans="1:28" ht="30" customHeight="1" x14ac:dyDescent="0.3">
      <c r="A19" s="32">
        <f t="shared" si="0"/>
        <v>15</v>
      </c>
      <c r="B19" s="32"/>
      <c r="C19" s="25" t="s">
        <v>76</v>
      </c>
      <c r="D19" s="25" t="s">
        <v>77</v>
      </c>
      <c r="E19" s="25" t="s">
        <v>78</v>
      </c>
      <c r="F19" s="32" t="str">
        <f t="shared" si="1"/>
        <v>Found as per as expectations</v>
      </c>
      <c r="G19" s="32" t="s">
        <v>21</v>
      </c>
      <c r="H19" s="32" t="s">
        <v>79</v>
      </c>
      <c r="I19" s="44"/>
      <c r="J19" s="45"/>
      <c r="K19" s="46" t="s">
        <v>23</v>
      </c>
      <c r="L19" s="36"/>
      <c r="M19" s="25"/>
      <c r="N19" s="25"/>
      <c r="O19" s="25"/>
      <c r="P19" s="25"/>
      <c r="Q19" s="25"/>
      <c r="R19" s="25"/>
      <c r="S19" s="25"/>
      <c r="T19" s="28"/>
      <c r="U19" s="28"/>
      <c r="V19" s="28"/>
      <c r="W19" s="28"/>
      <c r="X19" s="28"/>
      <c r="Y19" s="28"/>
      <c r="Z19" s="28"/>
      <c r="AA19" s="28"/>
      <c r="AB19" s="28"/>
    </row>
    <row r="20" spans="1:28" ht="30" customHeight="1" x14ac:dyDescent="0.3">
      <c r="A20" s="32">
        <f t="shared" si="0"/>
        <v>16</v>
      </c>
      <c r="B20" s="32"/>
      <c r="C20" s="25" t="s">
        <v>80</v>
      </c>
      <c r="D20" s="25" t="s">
        <v>81</v>
      </c>
      <c r="E20" s="25" t="s">
        <v>82</v>
      </c>
      <c r="F20" s="32" t="str">
        <f t="shared" si="1"/>
        <v>Found as per as expectations</v>
      </c>
      <c r="G20" s="32" t="s">
        <v>21</v>
      </c>
      <c r="H20" s="32" t="s">
        <v>83</v>
      </c>
      <c r="I20" s="44"/>
      <c r="J20" s="45"/>
      <c r="K20" s="46" t="s">
        <v>23</v>
      </c>
      <c r="L20" s="36"/>
      <c r="M20" s="25"/>
      <c r="N20" s="25"/>
      <c r="O20" s="25"/>
      <c r="P20" s="25"/>
      <c r="Q20" s="25"/>
      <c r="R20" s="25"/>
      <c r="S20" s="25"/>
      <c r="T20" s="28"/>
      <c r="U20" s="28"/>
      <c r="V20" s="28"/>
      <c r="W20" s="28"/>
      <c r="X20" s="28"/>
      <c r="Y20" s="28"/>
      <c r="Z20" s="28"/>
      <c r="AA20" s="28"/>
      <c r="AB20" s="28"/>
    </row>
    <row r="21" spans="1:28" ht="30" customHeight="1" x14ac:dyDescent="0.3">
      <c r="A21" s="55" t="s">
        <v>84</v>
      </c>
      <c r="B21" s="22"/>
      <c r="C21" s="22"/>
      <c r="D21" s="22"/>
      <c r="E21" s="22"/>
      <c r="F21" s="22"/>
      <c r="G21" s="22"/>
      <c r="H21" s="22"/>
      <c r="I21" s="22"/>
      <c r="J21" s="22"/>
      <c r="K21" s="23"/>
      <c r="L21" s="25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spans="1:28" ht="30" customHeight="1" x14ac:dyDescent="0.3">
      <c r="A22" s="28">
        <f t="shared" ref="A22:A46" si="2">ROW()-21</f>
        <v>1</v>
      </c>
      <c r="B22" s="33" t="s">
        <v>17</v>
      </c>
      <c r="C22" s="28" t="s">
        <v>85</v>
      </c>
      <c r="D22" s="28" t="s">
        <v>86</v>
      </c>
      <c r="E22" s="28" t="s">
        <v>87</v>
      </c>
      <c r="F22" s="32" t="str">
        <f t="shared" ref="F22:F46" si="3">IF(K22="Passed","Found as per as expectations","Found not as per as exdpectations")</f>
        <v>Found as per as expectations</v>
      </c>
      <c r="G22" s="28" t="s">
        <v>21</v>
      </c>
      <c r="H22" s="28" t="s">
        <v>88</v>
      </c>
      <c r="I22" s="26"/>
      <c r="J22" s="28"/>
      <c r="K22" s="46" t="s">
        <v>23</v>
      </c>
      <c r="L22" s="25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spans="1:28" ht="30" customHeight="1" x14ac:dyDescent="0.3">
      <c r="A23" s="28">
        <f t="shared" si="2"/>
        <v>2</v>
      </c>
      <c r="B23" s="28"/>
      <c r="C23" s="28" t="s">
        <v>85</v>
      </c>
      <c r="D23" s="28" t="s">
        <v>89</v>
      </c>
      <c r="E23" s="28" t="s">
        <v>90</v>
      </c>
      <c r="F23" s="32" t="str">
        <f t="shared" si="3"/>
        <v>Found as per as expectations</v>
      </c>
      <c r="G23" s="28" t="s">
        <v>91</v>
      </c>
      <c r="H23" s="28" t="s">
        <v>88</v>
      </c>
      <c r="I23" s="26"/>
      <c r="J23" s="28"/>
      <c r="K23" s="46" t="s">
        <v>23</v>
      </c>
      <c r="L23" s="25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spans="1:28" ht="30" customHeight="1" x14ac:dyDescent="0.3">
      <c r="A24" s="28">
        <f t="shared" si="2"/>
        <v>3</v>
      </c>
      <c r="B24" s="28"/>
      <c r="C24" s="28" t="s">
        <v>85</v>
      </c>
      <c r="D24" s="28" t="s">
        <v>92</v>
      </c>
      <c r="E24" s="28" t="s">
        <v>93</v>
      </c>
      <c r="F24" s="32" t="str">
        <f t="shared" si="3"/>
        <v>Found as per as expectations</v>
      </c>
      <c r="G24" s="28" t="s">
        <v>91</v>
      </c>
      <c r="H24" s="28" t="s">
        <v>88</v>
      </c>
      <c r="I24" s="26"/>
      <c r="J24" s="28"/>
      <c r="K24" s="46" t="s">
        <v>23</v>
      </c>
      <c r="L24" s="25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spans="1:28" ht="30" customHeight="1" x14ac:dyDescent="0.3">
      <c r="A25" s="28">
        <f t="shared" si="2"/>
        <v>4</v>
      </c>
      <c r="B25" s="28"/>
      <c r="C25" s="28" t="s">
        <v>94</v>
      </c>
      <c r="D25" s="28" t="s">
        <v>95</v>
      </c>
      <c r="E25" s="28" t="s">
        <v>96</v>
      </c>
      <c r="F25" s="32" t="str">
        <f t="shared" si="3"/>
        <v>Found as per as expectations</v>
      </c>
      <c r="G25" s="28" t="s">
        <v>21</v>
      </c>
      <c r="H25" s="28" t="s">
        <v>88</v>
      </c>
      <c r="I25" s="26"/>
      <c r="J25" s="28"/>
      <c r="K25" s="46" t="s">
        <v>23</v>
      </c>
      <c r="L25" s="25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spans="1:28" ht="30" customHeight="1" x14ac:dyDescent="0.3">
      <c r="A26" s="28">
        <f t="shared" si="2"/>
        <v>5</v>
      </c>
      <c r="B26" s="28"/>
      <c r="C26" s="28" t="s">
        <v>91</v>
      </c>
      <c r="D26" s="28" t="s">
        <v>97</v>
      </c>
      <c r="E26" s="28" t="s">
        <v>98</v>
      </c>
      <c r="F26" s="32" t="str">
        <f t="shared" si="3"/>
        <v>Found as per as expectations</v>
      </c>
      <c r="G26" s="28" t="s">
        <v>99</v>
      </c>
      <c r="H26" s="28" t="s">
        <v>88</v>
      </c>
      <c r="I26" s="26"/>
      <c r="J26" s="28"/>
      <c r="K26" s="46" t="s">
        <v>23</v>
      </c>
      <c r="L26" s="25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spans="1:28" ht="30" customHeight="1" x14ac:dyDescent="0.3">
      <c r="A27" s="28">
        <f t="shared" si="2"/>
        <v>6</v>
      </c>
      <c r="B27" s="28"/>
      <c r="C27" s="28" t="s">
        <v>91</v>
      </c>
      <c r="D27" s="28" t="s">
        <v>100</v>
      </c>
      <c r="E27" s="28" t="s">
        <v>101</v>
      </c>
      <c r="F27" s="32" t="str">
        <f t="shared" si="3"/>
        <v>Found as per as expectations</v>
      </c>
      <c r="G27" s="28" t="s">
        <v>21</v>
      </c>
      <c r="H27" s="28" t="s">
        <v>102</v>
      </c>
      <c r="I27" s="26"/>
      <c r="J27" s="28"/>
      <c r="K27" s="46" t="s">
        <v>23</v>
      </c>
      <c r="L27" s="25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spans="1:28" ht="30" customHeight="1" x14ac:dyDescent="0.3">
      <c r="A28" s="28">
        <f t="shared" si="2"/>
        <v>7</v>
      </c>
      <c r="B28" s="53" t="s">
        <v>71</v>
      </c>
      <c r="C28" s="28" t="s">
        <v>85</v>
      </c>
      <c r="D28" s="28" t="s">
        <v>103</v>
      </c>
      <c r="E28" s="28" t="s">
        <v>104</v>
      </c>
      <c r="F28" s="32" t="str">
        <f t="shared" si="3"/>
        <v>Found as per as expectations</v>
      </c>
      <c r="G28" s="28" t="s">
        <v>21</v>
      </c>
      <c r="H28" s="28" t="s">
        <v>102</v>
      </c>
      <c r="I28" s="26"/>
      <c r="J28" s="28"/>
      <c r="K28" s="46" t="s">
        <v>23</v>
      </c>
      <c r="L28" s="25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spans="1:28" ht="30" customHeight="1" x14ac:dyDescent="0.3">
      <c r="A29" s="28">
        <f t="shared" si="2"/>
        <v>8</v>
      </c>
      <c r="B29" s="25"/>
      <c r="C29" s="28" t="s">
        <v>91</v>
      </c>
      <c r="D29" s="28" t="s">
        <v>105</v>
      </c>
      <c r="E29" s="28" t="s">
        <v>106</v>
      </c>
      <c r="F29" s="32" t="str">
        <f t="shared" si="3"/>
        <v>Found as per as expectations</v>
      </c>
      <c r="G29" s="28" t="s">
        <v>99</v>
      </c>
      <c r="H29" s="28" t="s">
        <v>102</v>
      </c>
      <c r="I29" s="26"/>
      <c r="J29" s="28"/>
      <c r="K29" s="46" t="s">
        <v>23</v>
      </c>
      <c r="L29" s="25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spans="1:28" ht="30" customHeight="1" x14ac:dyDescent="0.3">
      <c r="A30" s="28">
        <f t="shared" si="2"/>
        <v>9</v>
      </c>
      <c r="B30" s="25"/>
      <c r="C30" s="28" t="s">
        <v>91</v>
      </c>
      <c r="D30" s="28" t="s">
        <v>107</v>
      </c>
      <c r="E30" s="28" t="s">
        <v>108</v>
      </c>
      <c r="F30" s="32" t="str">
        <f t="shared" si="3"/>
        <v>Found as per as expectations</v>
      </c>
      <c r="G30" s="28" t="s">
        <v>99</v>
      </c>
      <c r="H30" s="28" t="s">
        <v>102</v>
      </c>
      <c r="I30" s="26"/>
      <c r="J30" s="28"/>
      <c r="K30" s="46" t="s">
        <v>23</v>
      </c>
      <c r="L30" s="25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spans="1:28" ht="30" customHeight="1" x14ac:dyDescent="0.3">
      <c r="A31" s="28">
        <f t="shared" si="2"/>
        <v>10</v>
      </c>
      <c r="B31" s="25"/>
      <c r="C31" s="28" t="s">
        <v>91</v>
      </c>
      <c r="D31" s="28" t="s">
        <v>109</v>
      </c>
      <c r="E31" s="28" t="s">
        <v>108</v>
      </c>
      <c r="F31" s="32" t="str">
        <f t="shared" si="3"/>
        <v>Found as per as expectations</v>
      </c>
      <c r="G31" s="28" t="s">
        <v>99</v>
      </c>
      <c r="H31" s="28" t="s">
        <v>102</v>
      </c>
      <c r="I31" s="26"/>
      <c r="J31" s="28"/>
      <c r="K31" s="46" t="s">
        <v>23</v>
      </c>
      <c r="L31" s="25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spans="1:28" ht="30" customHeight="1" x14ac:dyDescent="0.3">
      <c r="A32" s="28">
        <f t="shared" si="2"/>
        <v>11</v>
      </c>
      <c r="B32" s="25"/>
      <c r="C32" s="28" t="s">
        <v>91</v>
      </c>
      <c r="D32" s="28" t="s">
        <v>110</v>
      </c>
      <c r="E32" s="28" t="s">
        <v>111</v>
      </c>
      <c r="F32" s="32" t="str">
        <f t="shared" si="3"/>
        <v>Found as per as expectations</v>
      </c>
      <c r="G32" s="28" t="s">
        <v>112</v>
      </c>
      <c r="H32" s="28" t="s">
        <v>102</v>
      </c>
      <c r="I32" s="26"/>
      <c r="J32" s="28"/>
      <c r="K32" s="46" t="s">
        <v>23</v>
      </c>
      <c r="L32" s="25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28" ht="30" customHeight="1" x14ac:dyDescent="0.3">
      <c r="A33" s="28">
        <f t="shared" si="2"/>
        <v>12</v>
      </c>
      <c r="B33" s="25"/>
      <c r="C33" s="28" t="s">
        <v>91</v>
      </c>
      <c r="D33" s="28" t="s">
        <v>113</v>
      </c>
      <c r="E33" s="28" t="s">
        <v>114</v>
      </c>
      <c r="F33" s="32" t="str">
        <f t="shared" si="3"/>
        <v>Found as per as expectations</v>
      </c>
      <c r="G33" s="28" t="s">
        <v>115</v>
      </c>
      <c r="H33" s="28" t="s">
        <v>102</v>
      </c>
      <c r="I33" s="26"/>
      <c r="J33" s="28"/>
      <c r="K33" s="46" t="s">
        <v>23</v>
      </c>
      <c r="L33" s="25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spans="1:28" ht="30" customHeight="1" x14ac:dyDescent="0.3">
      <c r="A34" s="28">
        <f t="shared" si="2"/>
        <v>13</v>
      </c>
      <c r="B34" s="25"/>
      <c r="C34" s="28" t="s">
        <v>91</v>
      </c>
      <c r="D34" s="28" t="s">
        <v>116</v>
      </c>
      <c r="E34" s="28" t="s">
        <v>117</v>
      </c>
      <c r="F34" s="32" t="str">
        <f t="shared" si="3"/>
        <v>Found as per as expectations</v>
      </c>
      <c r="G34" s="28" t="s">
        <v>99</v>
      </c>
      <c r="H34" s="28" t="s">
        <v>102</v>
      </c>
      <c r="I34" s="26"/>
      <c r="J34" s="28"/>
      <c r="K34" s="46" t="s">
        <v>23</v>
      </c>
      <c r="L34" s="25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28" ht="30" customHeight="1" x14ac:dyDescent="0.3">
      <c r="A35" s="28">
        <f t="shared" si="2"/>
        <v>14</v>
      </c>
      <c r="B35" s="25"/>
      <c r="C35" s="28" t="s">
        <v>118</v>
      </c>
      <c r="D35" s="28" t="s">
        <v>119</v>
      </c>
      <c r="E35" s="28" t="s">
        <v>120</v>
      </c>
      <c r="F35" s="32" t="str">
        <f t="shared" si="3"/>
        <v>Found as per as expectations</v>
      </c>
      <c r="G35" s="28" t="s">
        <v>99</v>
      </c>
      <c r="H35" s="28" t="s">
        <v>102</v>
      </c>
      <c r="I35" s="26"/>
      <c r="J35" s="28"/>
      <c r="K35" s="46" t="s">
        <v>23</v>
      </c>
      <c r="L35" s="25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spans="1:28" ht="30" customHeight="1" x14ac:dyDescent="0.3">
      <c r="A36" s="28">
        <f t="shared" si="2"/>
        <v>15</v>
      </c>
      <c r="B36" s="25"/>
      <c r="C36" s="28" t="s">
        <v>121</v>
      </c>
      <c r="D36" s="28" t="s">
        <v>122</v>
      </c>
      <c r="E36" s="28" t="s">
        <v>123</v>
      </c>
      <c r="F36" s="32" t="str">
        <f t="shared" si="3"/>
        <v>Found as per as expectations</v>
      </c>
      <c r="G36" s="28" t="s">
        <v>124</v>
      </c>
      <c r="H36" s="28" t="s">
        <v>102</v>
      </c>
      <c r="I36" s="26"/>
      <c r="J36" s="28"/>
      <c r="K36" s="46" t="s">
        <v>23</v>
      </c>
      <c r="L36" s="25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spans="1:28" ht="30" customHeight="1" x14ac:dyDescent="0.3">
      <c r="A37" s="28">
        <f t="shared" si="2"/>
        <v>16</v>
      </c>
      <c r="B37" s="25"/>
      <c r="C37" s="28" t="s">
        <v>121</v>
      </c>
      <c r="D37" s="28" t="s">
        <v>125</v>
      </c>
      <c r="E37" s="28" t="s">
        <v>126</v>
      </c>
      <c r="F37" s="32" t="str">
        <f t="shared" si="3"/>
        <v>Found as per as expectations</v>
      </c>
      <c r="G37" s="28" t="s">
        <v>21</v>
      </c>
      <c r="H37" s="28" t="s">
        <v>102</v>
      </c>
      <c r="I37" s="26"/>
      <c r="J37" s="28"/>
      <c r="K37" s="46" t="s">
        <v>23</v>
      </c>
      <c r="L37" s="25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spans="1:28" ht="30" customHeight="1" x14ac:dyDescent="0.3">
      <c r="A38" s="28">
        <f t="shared" si="2"/>
        <v>17</v>
      </c>
      <c r="B38" s="25"/>
      <c r="C38" s="28" t="s">
        <v>121</v>
      </c>
      <c r="D38" s="28" t="s">
        <v>127</v>
      </c>
      <c r="E38" s="28" t="s">
        <v>128</v>
      </c>
      <c r="F38" s="32" t="str">
        <f t="shared" si="3"/>
        <v>Found as per as expectations</v>
      </c>
      <c r="G38" s="28" t="s">
        <v>21</v>
      </c>
      <c r="H38" s="28" t="s">
        <v>102</v>
      </c>
      <c r="I38" s="26"/>
      <c r="J38" s="28"/>
      <c r="K38" s="46" t="s">
        <v>23</v>
      </c>
      <c r="L38" s="25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spans="1:28" ht="30" customHeight="1" x14ac:dyDescent="0.3">
      <c r="A39" s="28">
        <f t="shared" si="2"/>
        <v>18</v>
      </c>
      <c r="B39" s="25"/>
      <c r="C39" s="28" t="s">
        <v>121</v>
      </c>
      <c r="D39" s="28" t="s">
        <v>129</v>
      </c>
      <c r="E39" s="28" t="s">
        <v>130</v>
      </c>
      <c r="F39" s="32" t="str">
        <f t="shared" si="3"/>
        <v>Found as per as expectations</v>
      </c>
      <c r="G39" s="28" t="s">
        <v>21</v>
      </c>
      <c r="H39" s="28" t="s">
        <v>102</v>
      </c>
      <c r="I39" s="26"/>
      <c r="J39" s="28"/>
      <c r="K39" s="46" t="s">
        <v>23</v>
      </c>
      <c r="L39" s="25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spans="1:28" ht="30" customHeight="1" x14ac:dyDescent="0.3">
      <c r="A40" s="28">
        <f t="shared" si="2"/>
        <v>19</v>
      </c>
      <c r="B40" s="25"/>
      <c r="C40" s="28" t="s">
        <v>131</v>
      </c>
      <c r="D40" s="28" t="s">
        <v>132</v>
      </c>
      <c r="E40" s="28" t="s">
        <v>133</v>
      </c>
      <c r="F40" s="32" t="str">
        <f t="shared" si="3"/>
        <v>Found as per as expectations</v>
      </c>
      <c r="G40" s="28" t="s">
        <v>134</v>
      </c>
      <c r="H40" s="28" t="s">
        <v>102</v>
      </c>
      <c r="I40" s="26"/>
      <c r="J40" s="28"/>
      <c r="K40" s="46" t="s">
        <v>23</v>
      </c>
      <c r="L40" s="25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1:28" ht="30" customHeight="1" x14ac:dyDescent="0.3">
      <c r="A41" s="28">
        <f t="shared" si="2"/>
        <v>20</v>
      </c>
      <c r="B41" s="25"/>
      <c r="C41" s="28" t="s">
        <v>135</v>
      </c>
      <c r="D41" s="28" t="s">
        <v>136</v>
      </c>
      <c r="E41" s="28" t="s">
        <v>137</v>
      </c>
      <c r="F41" s="32" t="str">
        <f t="shared" si="3"/>
        <v>Found as per as expectations</v>
      </c>
      <c r="G41" s="28" t="s">
        <v>134</v>
      </c>
      <c r="H41" s="28" t="s">
        <v>102</v>
      </c>
      <c r="I41" s="26"/>
      <c r="J41" s="28"/>
      <c r="K41" s="46" t="s">
        <v>23</v>
      </c>
      <c r="L41" s="25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1:28" ht="30" customHeight="1" x14ac:dyDescent="0.3">
      <c r="A42" s="28">
        <f t="shared" si="2"/>
        <v>21</v>
      </c>
      <c r="B42" s="25"/>
      <c r="C42" s="28" t="s">
        <v>85</v>
      </c>
      <c r="D42" s="28" t="s">
        <v>138</v>
      </c>
      <c r="E42" s="28" t="s">
        <v>139</v>
      </c>
      <c r="F42" s="32" t="str">
        <f t="shared" si="3"/>
        <v>Found as per as expectations</v>
      </c>
      <c r="G42" s="28" t="s">
        <v>140</v>
      </c>
      <c r="H42" s="28" t="s">
        <v>102</v>
      </c>
      <c r="I42" s="26"/>
      <c r="J42" s="28"/>
      <c r="K42" s="46" t="s">
        <v>23</v>
      </c>
      <c r="L42" s="25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spans="1:28" ht="30" customHeight="1" x14ac:dyDescent="0.3">
      <c r="A43" s="28">
        <f t="shared" si="2"/>
        <v>22</v>
      </c>
      <c r="B43" s="25"/>
      <c r="C43" s="28" t="s">
        <v>85</v>
      </c>
      <c r="D43" s="28" t="s">
        <v>141</v>
      </c>
      <c r="E43" s="28" t="s">
        <v>142</v>
      </c>
      <c r="F43" s="32" t="str">
        <f t="shared" si="3"/>
        <v>Found as per as expectations</v>
      </c>
      <c r="G43" s="28" t="s">
        <v>143</v>
      </c>
      <c r="H43" s="28" t="s">
        <v>102</v>
      </c>
      <c r="I43" s="26"/>
      <c r="J43" s="28"/>
      <c r="K43" s="46" t="s">
        <v>23</v>
      </c>
      <c r="L43" s="25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spans="1:28" ht="30" customHeight="1" x14ac:dyDescent="0.3">
      <c r="A44" s="28">
        <f t="shared" si="2"/>
        <v>23</v>
      </c>
      <c r="B44" s="25"/>
      <c r="C44" s="28" t="s">
        <v>144</v>
      </c>
      <c r="D44" s="28" t="s">
        <v>145</v>
      </c>
      <c r="E44" s="28" t="s">
        <v>146</v>
      </c>
      <c r="F44" s="32" t="str">
        <f t="shared" si="3"/>
        <v>Found as per as expectations</v>
      </c>
      <c r="G44" s="28" t="s">
        <v>147</v>
      </c>
      <c r="H44" s="28" t="s">
        <v>102</v>
      </c>
      <c r="I44" s="26"/>
      <c r="J44" s="28"/>
      <c r="K44" s="46" t="s">
        <v>23</v>
      </c>
      <c r="L44" s="25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spans="1:28" ht="30" customHeight="1" x14ac:dyDescent="0.3">
      <c r="A45" s="28">
        <f t="shared" si="2"/>
        <v>24</v>
      </c>
      <c r="B45" s="25"/>
      <c r="C45" s="28" t="s">
        <v>118</v>
      </c>
      <c r="D45" s="28" t="s">
        <v>148</v>
      </c>
      <c r="E45" s="28" t="s">
        <v>149</v>
      </c>
      <c r="F45" s="32" t="str">
        <f t="shared" si="3"/>
        <v>Found as per as expectations</v>
      </c>
      <c r="G45" s="28" t="s">
        <v>150</v>
      </c>
      <c r="H45" s="28" t="s">
        <v>102</v>
      </c>
      <c r="I45" s="26"/>
      <c r="J45" s="28"/>
      <c r="K45" s="46" t="s">
        <v>23</v>
      </c>
      <c r="L45" s="25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1:28" ht="30" customHeight="1" x14ac:dyDescent="0.3">
      <c r="A46" s="28">
        <f t="shared" si="2"/>
        <v>25</v>
      </c>
      <c r="B46" s="56" t="s">
        <v>151</v>
      </c>
      <c r="C46" s="28" t="s">
        <v>91</v>
      </c>
      <c r="D46" s="28" t="s">
        <v>152</v>
      </c>
      <c r="E46" s="28" t="s">
        <v>153</v>
      </c>
      <c r="F46" s="32" t="str">
        <f t="shared" si="3"/>
        <v>Found as per as expectations</v>
      </c>
      <c r="G46" s="28" t="s">
        <v>154</v>
      </c>
      <c r="H46" s="28" t="s">
        <v>102</v>
      </c>
      <c r="I46" s="26"/>
      <c r="J46" s="28"/>
      <c r="K46" s="46" t="s">
        <v>23</v>
      </c>
      <c r="L46" s="25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spans="1:28" ht="30" customHeight="1" x14ac:dyDescent="0.3">
      <c r="A47" s="55" t="s">
        <v>155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8"/>
    </row>
    <row r="48" spans="1:28" ht="30" customHeight="1" x14ac:dyDescent="0.3">
      <c r="A48" s="28">
        <f t="shared" ref="A48:A66" si="4">ROW()-47</f>
        <v>1</v>
      </c>
      <c r="B48" s="33" t="s">
        <v>17</v>
      </c>
      <c r="C48" s="32" t="s">
        <v>156</v>
      </c>
      <c r="D48" s="32" t="s">
        <v>157</v>
      </c>
      <c r="E48" s="32" t="s">
        <v>158</v>
      </c>
      <c r="F48" s="32" t="str">
        <f t="shared" ref="F48:F56" si="5">IF(K48="Passed","Found as per as expectations","Found not as per as exdpectations")</f>
        <v>Found as per as expectations</v>
      </c>
      <c r="G48" s="32" t="s">
        <v>21</v>
      </c>
      <c r="H48" s="32" t="s">
        <v>159</v>
      </c>
      <c r="I48" s="35"/>
      <c r="J48" s="33"/>
      <c r="K48" s="36" t="s">
        <v>23</v>
      </c>
      <c r="L48" s="25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1:28" ht="30" customHeight="1" x14ac:dyDescent="0.3">
      <c r="A49" s="28">
        <f t="shared" si="4"/>
        <v>2</v>
      </c>
      <c r="B49" s="32"/>
      <c r="C49" s="25" t="s">
        <v>160</v>
      </c>
      <c r="D49" s="25" t="s">
        <v>161</v>
      </c>
      <c r="E49" s="25" t="s">
        <v>162</v>
      </c>
      <c r="F49" s="32" t="str">
        <f t="shared" si="5"/>
        <v>Found as per as expectations</v>
      </c>
      <c r="G49" s="32" t="s">
        <v>21</v>
      </c>
      <c r="H49" s="32" t="s">
        <v>159</v>
      </c>
      <c r="I49" s="38"/>
      <c r="J49" s="39"/>
      <c r="K49" s="36" t="s">
        <v>23</v>
      </c>
      <c r="L49" s="25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spans="1:28" ht="30" customHeight="1" x14ac:dyDescent="0.3">
      <c r="A50" s="28">
        <f t="shared" si="4"/>
        <v>3</v>
      </c>
      <c r="B50" s="32"/>
      <c r="C50" s="25" t="s">
        <v>27</v>
      </c>
      <c r="D50" s="25" t="s">
        <v>28</v>
      </c>
      <c r="E50" s="25" t="s">
        <v>29</v>
      </c>
      <c r="F50" s="32" t="str">
        <f t="shared" si="5"/>
        <v>Found as per as expectations</v>
      </c>
      <c r="G50" s="32" t="s">
        <v>21</v>
      </c>
      <c r="H50" s="32" t="s">
        <v>159</v>
      </c>
      <c r="I50" s="35"/>
      <c r="J50" s="40"/>
      <c r="K50" s="36" t="s">
        <v>23</v>
      </c>
      <c r="L50" s="25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spans="1:28" ht="30" customHeight="1" x14ac:dyDescent="0.3">
      <c r="A51" s="28">
        <f t="shared" si="4"/>
        <v>4</v>
      </c>
      <c r="B51" s="32"/>
      <c r="C51" s="25" t="s">
        <v>31</v>
      </c>
      <c r="D51" s="25" t="s">
        <v>32</v>
      </c>
      <c r="E51" s="25" t="s">
        <v>33</v>
      </c>
      <c r="F51" s="32" t="str">
        <f t="shared" si="5"/>
        <v>Found as per as expectations</v>
      </c>
      <c r="G51" s="32" t="s">
        <v>21</v>
      </c>
      <c r="H51" s="32" t="s">
        <v>159</v>
      </c>
      <c r="I51" s="43"/>
      <c r="J51" s="41"/>
      <c r="K51" s="36" t="s">
        <v>23</v>
      </c>
      <c r="L51" s="25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spans="1:28" ht="30" customHeight="1" x14ac:dyDescent="0.3">
      <c r="A52" s="28">
        <f t="shared" si="4"/>
        <v>5</v>
      </c>
      <c r="B52" s="32"/>
      <c r="C52" s="25" t="s">
        <v>35</v>
      </c>
      <c r="D52" s="25" t="s">
        <v>163</v>
      </c>
      <c r="E52" s="25" t="s">
        <v>37</v>
      </c>
      <c r="F52" s="32" t="str">
        <f t="shared" si="5"/>
        <v>Found as per as expectations</v>
      </c>
      <c r="G52" s="32" t="s">
        <v>21</v>
      </c>
      <c r="H52" s="32" t="s">
        <v>159</v>
      </c>
      <c r="I52" s="43"/>
      <c r="J52" s="41"/>
      <c r="K52" s="36" t="s">
        <v>23</v>
      </c>
      <c r="L52" s="25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spans="1:28" ht="30" customHeight="1" x14ac:dyDescent="0.3">
      <c r="A53" s="28">
        <f t="shared" si="4"/>
        <v>6</v>
      </c>
      <c r="B53" s="32"/>
      <c r="C53" s="25" t="s">
        <v>38</v>
      </c>
      <c r="D53" s="25" t="s">
        <v>164</v>
      </c>
      <c r="E53" s="25" t="s">
        <v>40</v>
      </c>
      <c r="F53" s="32" t="str">
        <f t="shared" si="5"/>
        <v>Found as per as expectations</v>
      </c>
      <c r="G53" s="32" t="s">
        <v>21</v>
      </c>
      <c r="H53" s="32" t="s">
        <v>159</v>
      </c>
      <c r="I53" s="43"/>
      <c r="J53" s="41"/>
      <c r="K53" s="36" t="s">
        <v>23</v>
      </c>
      <c r="L53" s="25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ht="30" customHeight="1" x14ac:dyDescent="0.3">
      <c r="A54" s="28">
        <f t="shared" si="4"/>
        <v>7</v>
      </c>
      <c r="B54" s="32"/>
      <c r="C54" s="25" t="s">
        <v>165</v>
      </c>
      <c r="D54" s="28" t="s">
        <v>166</v>
      </c>
      <c r="E54" s="28" t="s">
        <v>167</v>
      </c>
      <c r="F54" s="32" t="str">
        <f t="shared" si="5"/>
        <v>Found as per as expectations</v>
      </c>
      <c r="G54" s="32" t="s">
        <v>168</v>
      </c>
      <c r="H54" s="32" t="s">
        <v>169</v>
      </c>
      <c r="I54" s="43"/>
      <c r="J54" s="41"/>
      <c r="K54" s="36" t="s">
        <v>23</v>
      </c>
      <c r="L54" s="25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ht="30" customHeight="1" x14ac:dyDescent="0.3">
      <c r="A55" s="28">
        <f t="shared" si="4"/>
        <v>8</v>
      </c>
      <c r="B55" s="32"/>
      <c r="C55" s="25" t="s">
        <v>170</v>
      </c>
      <c r="D55" s="25" t="s">
        <v>171</v>
      </c>
      <c r="E55" s="25" t="s">
        <v>172</v>
      </c>
      <c r="F55" s="32" t="str">
        <f t="shared" si="5"/>
        <v>Found as per as expectations</v>
      </c>
      <c r="G55" s="32" t="s">
        <v>21</v>
      </c>
      <c r="H55" s="32" t="s">
        <v>159</v>
      </c>
      <c r="I55" s="43"/>
      <c r="J55" s="41"/>
      <c r="K55" s="36" t="s">
        <v>23</v>
      </c>
      <c r="L55" s="25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spans="1:28" ht="30" customHeight="1" x14ac:dyDescent="0.3">
      <c r="A56" s="28">
        <f t="shared" si="4"/>
        <v>9</v>
      </c>
      <c r="B56" s="32"/>
      <c r="C56" s="25" t="s">
        <v>173</v>
      </c>
      <c r="D56" s="25" t="s">
        <v>174</v>
      </c>
      <c r="E56" s="25" t="s">
        <v>175</v>
      </c>
      <c r="F56" s="32" t="str">
        <f t="shared" si="5"/>
        <v>Found as per as expectations</v>
      </c>
      <c r="G56" s="32" t="s">
        <v>21</v>
      </c>
      <c r="H56" s="32" t="s">
        <v>159</v>
      </c>
      <c r="I56" s="43"/>
      <c r="J56" s="41"/>
      <c r="K56" s="36" t="s">
        <v>23</v>
      </c>
      <c r="L56" s="25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spans="1:28" ht="30" customHeight="1" x14ac:dyDescent="0.3">
      <c r="A57" s="28">
        <f t="shared" si="4"/>
        <v>10</v>
      </c>
      <c r="B57" s="32"/>
      <c r="C57" s="25" t="s">
        <v>49</v>
      </c>
      <c r="D57" s="25" t="s">
        <v>50</v>
      </c>
      <c r="E57" s="25" t="s">
        <v>51</v>
      </c>
      <c r="F57" s="32" t="str">
        <f t="shared" ref="F57:F59" si="6">IF(K58="Passed","Found as per as expectations","Found not as per as exdpectations")</f>
        <v>Found as per as expectations</v>
      </c>
      <c r="G57" s="32" t="s">
        <v>21</v>
      </c>
      <c r="H57" s="32" t="s">
        <v>159</v>
      </c>
      <c r="I57" s="44"/>
      <c r="J57" s="45"/>
      <c r="K57" s="36" t="s">
        <v>23</v>
      </c>
      <c r="L57" s="25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spans="1:28" ht="30" customHeight="1" x14ac:dyDescent="0.3">
      <c r="A58" s="28">
        <f t="shared" si="4"/>
        <v>11</v>
      </c>
      <c r="B58" s="83"/>
      <c r="C58" s="25" t="s">
        <v>176</v>
      </c>
      <c r="D58" s="25" t="s">
        <v>177</v>
      </c>
      <c r="E58" s="25" t="s">
        <v>178</v>
      </c>
      <c r="F58" s="32" t="str">
        <f t="shared" si="6"/>
        <v>Found as per as expectations</v>
      </c>
      <c r="G58" s="32" t="s">
        <v>21</v>
      </c>
      <c r="H58" s="32" t="s">
        <v>159</v>
      </c>
      <c r="I58" s="49"/>
      <c r="J58" s="50"/>
      <c r="K58" s="46" t="s">
        <v>23</v>
      </c>
      <c r="L58" s="25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spans="1:28" ht="30" customHeight="1" x14ac:dyDescent="0.3">
      <c r="A59" s="28">
        <f t="shared" si="4"/>
        <v>12</v>
      </c>
      <c r="B59" s="83"/>
      <c r="C59" s="28" t="s">
        <v>179</v>
      </c>
      <c r="D59" s="28" t="s">
        <v>180</v>
      </c>
      <c r="E59" s="28" t="s">
        <v>181</v>
      </c>
      <c r="F59" s="32" t="str">
        <f t="shared" si="6"/>
        <v>Found as per as expectations</v>
      </c>
      <c r="G59" s="32" t="s">
        <v>21</v>
      </c>
      <c r="H59" s="32" t="s">
        <v>159</v>
      </c>
      <c r="I59" s="49"/>
      <c r="J59" s="50"/>
      <c r="K59" s="46" t="s">
        <v>23</v>
      </c>
      <c r="L59" s="25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spans="1:28" ht="30" customHeight="1" x14ac:dyDescent="0.3">
      <c r="A60" s="28">
        <f t="shared" si="4"/>
        <v>13</v>
      </c>
      <c r="B60" s="83"/>
      <c r="C60" s="28" t="s">
        <v>182</v>
      </c>
      <c r="D60" s="28" t="s">
        <v>183</v>
      </c>
      <c r="E60" s="28" t="s">
        <v>184</v>
      </c>
      <c r="F60" s="32" t="str">
        <f t="shared" ref="F60:F66" si="7">IF(K60="Passed","Found as per as expectations","Found not as per as exdpectations")</f>
        <v>Found as per as expectations</v>
      </c>
      <c r="G60" s="32" t="s">
        <v>21</v>
      </c>
      <c r="H60" s="32" t="s">
        <v>159</v>
      </c>
      <c r="I60" s="49"/>
      <c r="J60" s="50"/>
      <c r="K60" s="46" t="s">
        <v>23</v>
      </c>
      <c r="L60" s="25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spans="1:28" ht="30" customHeight="1" x14ac:dyDescent="0.3">
      <c r="A61" s="28">
        <f t="shared" si="4"/>
        <v>14</v>
      </c>
      <c r="B61" s="83"/>
      <c r="C61" s="28" t="s">
        <v>185</v>
      </c>
      <c r="D61" s="28" t="s">
        <v>186</v>
      </c>
      <c r="E61" s="28" t="s">
        <v>187</v>
      </c>
      <c r="F61" s="32" t="str">
        <f t="shared" si="7"/>
        <v>Found as per as expectations</v>
      </c>
      <c r="G61" s="32" t="s">
        <v>21</v>
      </c>
      <c r="H61" s="32" t="s">
        <v>159</v>
      </c>
      <c r="I61" s="49"/>
      <c r="J61" s="50"/>
      <c r="K61" s="46" t="s">
        <v>23</v>
      </c>
      <c r="L61" s="25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spans="1:28" ht="30" customHeight="1" x14ac:dyDescent="0.3">
      <c r="A62" s="28">
        <f t="shared" si="4"/>
        <v>15</v>
      </c>
      <c r="B62" s="53" t="s">
        <v>71</v>
      </c>
      <c r="C62" s="25" t="s">
        <v>188</v>
      </c>
      <c r="D62" s="32" t="s">
        <v>189</v>
      </c>
      <c r="E62" s="25" t="s">
        <v>74</v>
      </c>
      <c r="F62" s="32" t="str">
        <f t="shared" si="7"/>
        <v>Found as per as expectations</v>
      </c>
      <c r="G62" s="32" t="s">
        <v>21</v>
      </c>
      <c r="H62" s="32" t="s">
        <v>159</v>
      </c>
      <c r="I62" s="54"/>
      <c r="J62" s="41"/>
      <c r="K62" s="36" t="s">
        <v>23</v>
      </c>
      <c r="L62" s="25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30" customHeight="1" x14ac:dyDescent="0.3">
      <c r="A63" s="28">
        <f t="shared" si="4"/>
        <v>16</v>
      </c>
      <c r="B63" s="32"/>
      <c r="C63" s="25" t="s">
        <v>76</v>
      </c>
      <c r="D63" s="25" t="s">
        <v>77</v>
      </c>
      <c r="E63" s="25" t="s">
        <v>78</v>
      </c>
      <c r="F63" s="32" t="str">
        <f t="shared" si="7"/>
        <v>Found not as per as exdpectations</v>
      </c>
      <c r="G63" s="32" t="s">
        <v>21</v>
      </c>
      <c r="H63" s="32" t="s">
        <v>159</v>
      </c>
      <c r="I63" s="24" t="s">
        <v>57</v>
      </c>
      <c r="J63" s="45"/>
      <c r="K63" s="46" t="s">
        <v>58</v>
      </c>
      <c r="L63" s="25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30" customHeight="1" x14ac:dyDescent="0.3">
      <c r="A64" s="28">
        <f t="shared" si="4"/>
        <v>17</v>
      </c>
      <c r="B64" s="32"/>
      <c r="C64" s="28" t="s">
        <v>190</v>
      </c>
      <c r="D64" s="28" t="s">
        <v>191</v>
      </c>
      <c r="E64" s="28" t="s">
        <v>192</v>
      </c>
      <c r="F64" s="32" t="str">
        <f t="shared" si="7"/>
        <v>Found as per as expectations</v>
      </c>
      <c r="G64" s="32" t="s">
        <v>21</v>
      </c>
      <c r="H64" s="32" t="s">
        <v>159</v>
      </c>
      <c r="I64" s="44"/>
      <c r="J64" s="45"/>
      <c r="K64" s="46" t="s">
        <v>23</v>
      </c>
      <c r="L64" s="25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8" ht="30" customHeight="1" x14ac:dyDescent="0.3">
      <c r="A65" s="28">
        <f t="shared" si="4"/>
        <v>18</v>
      </c>
      <c r="B65" s="25"/>
      <c r="C65" s="28" t="s">
        <v>193</v>
      </c>
      <c r="D65" s="28" t="s">
        <v>194</v>
      </c>
      <c r="E65" s="28" t="s">
        <v>195</v>
      </c>
      <c r="F65" s="32" t="str">
        <f t="shared" si="7"/>
        <v>Found not as per as exdpectations</v>
      </c>
      <c r="G65" s="59" t="s">
        <v>168</v>
      </c>
      <c r="H65" s="32" t="s">
        <v>159</v>
      </c>
      <c r="I65" s="24" t="s">
        <v>57</v>
      </c>
      <c r="J65" s="28"/>
      <c r="K65" s="46" t="s">
        <v>58</v>
      </c>
      <c r="L65" s="25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spans="1:28" ht="30" customHeight="1" x14ac:dyDescent="0.3">
      <c r="A66" s="28">
        <f t="shared" si="4"/>
        <v>19</v>
      </c>
      <c r="B66" s="25"/>
      <c r="C66" s="28" t="s">
        <v>196</v>
      </c>
      <c r="D66" s="28" t="s">
        <v>197</v>
      </c>
      <c r="E66" s="28" t="s">
        <v>198</v>
      </c>
      <c r="F66" s="32" t="str">
        <f t="shared" si="7"/>
        <v>Found as per as expectations</v>
      </c>
      <c r="G66" s="59" t="s">
        <v>21</v>
      </c>
      <c r="H66" s="32" t="s">
        <v>159</v>
      </c>
      <c r="I66" s="26"/>
      <c r="J66" s="28"/>
      <c r="K66" s="46" t="s">
        <v>23</v>
      </c>
      <c r="L66" s="25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spans="1:28" ht="30" customHeight="1" x14ac:dyDescent="0.3">
      <c r="A67" s="60" t="s">
        <v>199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30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spans="1:28" ht="30" customHeight="1" x14ac:dyDescent="0.3">
      <c r="A68" s="32">
        <f t="shared" ref="A68:A83" si="8">ROW()-67</f>
        <v>1</v>
      </c>
      <c r="B68" s="33" t="s">
        <v>17</v>
      </c>
      <c r="C68" s="28" t="s">
        <v>200</v>
      </c>
      <c r="D68" s="28" t="s">
        <v>201</v>
      </c>
      <c r="E68" s="28" t="s">
        <v>202</v>
      </c>
      <c r="F68" s="32" t="str">
        <f t="shared" ref="F68:F83" si="9">IF(K68="Passed","Found as per as expectations","Found not as per as exdpectations")</f>
        <v>Found as per as expectations</v>
      </c>
      <c r="G68" s="32" t="s">
        <v>21</v>
      </c>
      <c r="H68" s="32" t="s">
        <v>203</v>
      </c>
      <c r="I68" s="35"/>
      <c r="J68" s="33"/>
      <c r="K68" s="36" t="s">
        <v>23</v>
      </c>
      <c r="L68" s="33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 spans="1:28" ht="30" customHeight="1" x14ac:dyDescent="0.3">
      <c r="A69" s="32">
        <f t="shared" si="8"/>
        <v>2</v>
      </c>
      <c r="B69" s="32"/>
      <c r="C69" s="25" t="s">
        <v>204</v>
      </c>
      <c r="D69" s="28" t="s">
        <v>205</v>
      </c>
      <c r="E69" s="25" t="s">
        <v>206</v>
      </c>
      <c r="F69" s="32" t="str">
        <f t="shared" si="9"/>
        <v>Found as per as expectations</v>
      </c>
      <c r="G69" s="32" t="s">
        <v>21</v>
      </c>
      <c r="H69" s="32" t="s">
        <v>203</v>
      </c>
      <c r="I69" s="38"/>
      <c r="J69" s="39"/>
      <c r="K69" s="36" t="s">
        <v>23</v>
      </c>
      <c r="L69" s="40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spans="1:28" ht="30" customHeight="1" x14ac:dyDescent="0.3">
      <c r="A70" s="32">
        <f t="shared" si="8"/>
        <v>3</v>
      </c>
      <c r="B70" s="32"/>
      <c r="C70" s="28" t="s">
        <v>207</v>
      </c>
      <c r="D70" s="28" t="s">
        <v>208</v>
      </c>
      <c r="E70" s="28" t="s">
        <v>209</v>
      </c>
      <c r="F70" s="32" t="str">
        <f t="shared" si="9"/>
        <v>Found as per as expectations</v>
      </c>
      <c r="G70" s="32" t="s">
        <v>21</v>
      </c>
      <c r="H70" s="32" t="s">
        <v>203</v>
      </c>
      <c r="I70" s="35"/>
      <c r="J70" s="40"/>
      <c r="K70" s="36" t="s">
        <v>23</v>
      </c>
      <c r="L70" s="40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spans="1:28" ht="30" customHeight="1" x14ac:dyDescent="0.3">
      <c r="A71" s="32">
        <f t="shared" si="8"/>
        <v>4</v>
      </c>
      <c r="B71" s="32"/>
      <c r="C71" s="28" t="s">
        <v>210</v>
      </c>
      <c r="D71" s="28" t="s">
        <v>211</v>
      </c>
      <c r="E71" s="28" t="s">
        <v>212</v>
      </c>
      <c r="F71" s="32" t="str">
        <f t="shared" si="9"/>
        <v>Found as per as expectations</v>
      </c>
      <c r="G71" s="32" t="s">
        <v>21</v>
      </c>
      <c r="H71" s="32" t="s">
        <v>203</v>
      </c>
      <c r="I71" s="43"/>
      <c r="J71" s="41"/>
      <c r="K71" s="36" t="s">
        <v>23</v>
      </c>
      <c r="L71" s="41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spans="1:28" ht="30" customHeight="1" x14ac:dyDescent="0.3">
      <c r="A72" s="32">
        <f t="shared" si="8"/>
        <v>5</v>
      </c>
      <c r="B72" s="53" t="s">
        <v>71</v>
      </c>
      <c r="C72" s="28" t="s">
        <v>213</v>
      </c>
      <c r="D72" s="28" t="s">
        <v>214</v>
      </c>
      <c r="E72" s="28" t="s">
        <v>215</v>
      </c>
      <c r="F72" s="32" t="str">
        <f t="shared" si="9"/>
        <v>Found as per as expectations</v>
      </c>
      <c r="G72" s="32" t="s">
        <v>21</v>
      </c>
      <c r="H72" s="32" t="s">
        <v>203</v>
      </c>
      <c r="I72" s="43"/>
      <c r="J72" s="41"/>
      <c r="K72" s="36" t="s">
        <v>23</v>
      </c>
      <c r="L72" s="41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spans="1:28" ht="30" customHeight="1" x14ac:dyDescent="0.3">
      <c r="A73" s="32">
        <f t="shared" si="8"/>
        <v>6</v>
      </c>
      <c r="B73" s="32"/>
      <c r="C73" s="28" t="s">
        <v>216</v>
      </c>
      <c r="D73" s="28" t="s">
        <v>217</v>
      </c>
      <c r="E73" s="28" t="s">
        <v>218</v>
      </c>
      <c r="F73" s="32" t="str">
        <f t="shared" si="9"/>
        <v>Found as per as expectations</v>
      </c>
      <c r="G73" s="32" t="s">
        <v>21</v>
      </c>
      <c r="H73" s="32" t="s">
        <v>203</v>
      </c>
      <c r="I73" s="43"/>
      <c r="J73" s="41"/>
      <c r="K73" s="36" t="s">
        <v>23</v>
      </c>
      <c r="L73" s="41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 spans="1:28" ht="30" customHeight="1" x14ac:dyDescent="0.3">
      <c r="A74" s="32">
        <f t="shared" si="8"/>
        <v>7</v>
      </c>
      <c r="B74" s="32"/>
      <c r="C74" s="28" t="s">
        <v>216</v>
      </c>
      <c r="D74" s="28" t="s">
        <v>219</v>
      </c>
      <c r="E74" s="28" t="s">
        <v>220</v>
      </c>
      <c r="F74" s="32" t="str">
        <f t="shared" si="9"/>
        <v>Found as per as expectations</v>
      </c>
      <c r="G74" s="34">
        <v>123456</v>
      </c>
      <c r="H74" s="32" t="s">
        <v>221</v>
      </c>
      <c r="I74" s="43"/>
      <c r="J74" s="41"/>
      <c r="K74" s="36" t="s">
        <v>23</v>
      </c>
      <c r="L74" s="41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spans="1:28" ht="30" customHeight="1" x14ac:dyDescent="0.3">
      <c r="A75" s="32">
        <f t="shared" si="8"/>
        <v>8</v>
      </c>
      <c r="B75" s="32"/>
      <c r="C75" s="28" t="s">
        <v>216</v>
      </c>
      <c r="D75" s="28" t="s">
        <v>222</v>
      </c>
      <c r="E75" s="28" t="s">
        <v>223</v>
      </c>
      <c r="F75" s="32" t="str">
        <f t="shared" si="9"/>
        <v>Found as per as expectations</v>
      </c>
      <c r="G75" s="32" t="s">
        <v>224</v>
      </c>
      <c r="H75" s="32" t="s">
        <v>225</v>
      </c>
      <c r="I75" s="43"/>
      <c r="J75" s="41"/>
      <c r="K75" s="36" t="s">
        <v>23</v>
      </c>
      <c r="L75" s="41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spans="1:28" ht="30" customHeight="1" x14ac:dyDescent="0.3">
      <c r="A76" s="32">
        <f t="shared" si="8"/>
        <v>9</v>
      </c>
      <c r="B76" s="32"/>
      <c r="C76" s="28" t="s">
        <v>226</v>
      </c>
      <c r="D76" s="28" t="s">
        <v>227</v>
      </c>
      <c r="E76" s="28" t="s">
        <v>228</v>
      </c>
      <c r="F76" s="32" t="str">
        <f t="shared" si="9"/>
        <v>Found not as per as exdpectations</v>
      </c>
      <c r="G76" s="28" t="s">
        <v>229</v>
      </c>
      <c r="H76" s="32" t="s">
        <v>225</v>
      </c>
      <c r="I76" s="24" t="s">
        <v>57</v>
      </c>
      <c r="J76" s="45"/>
      <c r="K76" s="46" t="s">
        <v>58</v>
      </c>
      <c r="L76" s="28" t="s">
        <v>230</v>
      </c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 spans="1:28" ht="30" customHeight="1" x14ac:dyDescent="0.3">
      <c r="A77" s="32">
        <f t="shared" si="8"/>
        <v>10</v>
      </c>
      <c r="B77" s="32"/>
      <c r="C77" s="28" t="s">
        <v>231</v>
      </c>
      <c r="D77" s="28" t="s">
        <v>232</v>
      </c>
      <c r="E77" s="28" t="s">
        <v>233</v>
      </c>
      <c r="F77" s="32" t="str">
        <f t="shared" si="9"/>
        <v>Found as per as expectations</v>
      </c>
      <c r="G77" s="32" t="s">
        <v>21</v>
      </c>
      <c r="H77" s="32" t="s">
        <v>234</v>
      </c>
      <c r="I77" s="44"/>
      <c r="J77" s="45"/>
      <c r="K77" s="46" t="s">
        <v>23</v>
      </c>
      <c r="L77" s="36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ht="30" customHeight="1" x14ac:dyDescent="0.3">
      <c r="A78" s="32">
        <f t="shared" si="8"/>
        <v>11</v>
      </c>
      <c r="B78" s="83"/>
      <c r="C78" s="28" t="s">
        <v>213</v>
      </c>
      <c r="D78" s="28" t="s">
        <v>235</v>
      </c>
      <c r="E78" s="28" t="s">
        <v>236</v>
      </c>
      <c r="F78" s="32" t="str">
        <f t="shared" si="9"/>
        <v>Found not as per as exdpectations</v>
      </c>
      <c r="G78" s="32" t="s">
        <v>237</v>
      </c>
      <c r="H78" s="32" t="s">
        <v>238</v>
      </c>
      <c r="I78" s="49" t="s">
        <v>57</v>
      </c>
      <c r="J78" s="50"/>
      <c r="K78" s="46" t="s">
        <v>58</v>
      </c>
      <c r="L78" s="28" t="s">
        <v>230</v>
      </c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spans="1:28" ht="30" customHeight="1" x14ac:dyDescent="0.3">
      <c r="A79" s="32">
        <f t="shared" si="8"/>
        <v>12</v>
      </c>
      <c r="B79" s="32"/>
      <c r="C79" s="28" t="s">
        <v>239</v>
      </c>
      <c r="D79" s="28" t="s">
        <v>240</v>
      </c>
      <c r="E79" s="28" t="s">
        <v>236</v>
      </c>
      <c r="F79" s="32" t="str">
        <f t="shared" si="9"/>
        <v>Found as per as expectations</v>
      </c>
      <c r="G79" s="28" t="s">
        <v>241</v>
      </c>
      <c r="H79" s="25" t="s">
        <v>242</v>
      </c>
      <c r="I79" s="44"/>
      <c r="J79" s="45"/>
      <c r="K79" s="46" t="s">
        <v>23</v>
      </c>
      <c r="L79" s="36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 spans="1:28" ht="30" customHeight="1" x14ac:dyDescent="0.3">
      <c r="A80" s="32">
        <f t="shared" si="8"/>
        <v>13</v>
      </c>
      <c r="B80" s="28"/>
      <c r="C80" s="28" t="s">
        <v>243</v>
      </c>
      <c r="D80" s="28" t="s">
        <v>244</v>
      </c>
      <c r="E80" s="28" t="s">
        <v>245</v>
      </c>
      <c r="F80" s="32" t="str">
        <f t="shared" si="9"/>
        <v>Found as per as expectations</v>
      </c>
      <c r="G80" s="32" t="s">
        <v>246</v>
      </c>
      <c r="H80" s="25" t="s">
        <v>247</v>
      </c>
      <c r="I80" s="54"/>
      <c r="J80" s="41"/>
      <c r="K80" s="36" t="s">
        <v>23</v>
      </c>
      <c r="L80" s="41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 spans="1:28" ht="30" customHeight="1" x14ac:dyDescent="0.3">
      <c r="A81" s="32">
        <f t="shared" si="8"/>
        <v>14</v>
      </c>
      <c r="B81" s="56" t="s">
        <v>248</v>
      </c>
      <c r="C81" s="28" t="s">
        <v>249</v>
      </c>
      <c r="D81" s="28" t="s">
        <v>250</v>
      </c>
      <c r="E81" s="25" t="s">
        <v>251</v>
      </c>
      <c r="F81" s="32" t="str">
        <f t="shared" si="9"/>
        <v>Found as per as expectations</v>
      </c>
      <c r="G81" s="32" t="s">
        <v>252</v>
      </c>
      <c r="H81" s="32" t="s">
        <v>253</v>
      </c>
      <c r="I81" s="44"/>
      <c r="J81" s="45"/>
      <c r="K81" s="46" t="s">
        <v>23</v>
      </c>
      <c r="L81" s="36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spans="1:28" ht="30" customHeight="1" x14ac:dyDescent="0.3">
      <c r="A82" s="32">
        <f t="shared" si="8"/>
        <v>15</v>
      </c>
      <c r="B82" s="56" t="s">
        <v>151</v>
      </c>
      <c r="C82" s="28" t="s">
        <v>254</v>
      </c>
      <c r="D82" s="28" t="s">
        <v>255</v>
      </c>
      <c r="E82" s="28" t="s">
        <v>256</v>
      </c>
      <c r="F82" s="32" t="str">
        <f t="shared" si="9"/>
        <v>Found as per as expectations</v>
      </c>
      <c r="G82" s="32" t="s">
        <v>21</v>
      </c>
      <c r="H82" s="32" t="s">
        <v>257</v>
      </c>
      <c r="I82" s="44"/>
      <c r="J82" s="45"/>
      <c r="K82" s="46" t="s">
        <v>23</v>
      </c>
      <c r="L82" s="36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spans="1:28" ht="30" customHeight="1" x14ac:dyDescent="0.3">
      <c r="A83" s="32">
        <f t="shared" si="8"/>
        <v>16</v>
      </c>
      <c r="B83" s="32"/>
      <c r="C83" s="25" t="s">
        <v>80</v>
      </c>
      <c r="D83" s="25" t="s">
        <v>81</v>
      </c>
      <c r="E83" s="25" t="s">
        <v>82</v>
      </c>
      <c r="F83" s="32" t="str">
        <f t="shared" si="9"/>
        <v>Found as per as expectations</v>
      </c>
      <c r="G83" s="32" t="s">
        <v>21</v>
      </c>
      <c r="H83" s="32" t="s">
        <v>83</v>
      </c>
      <c r="I83" s="44"/>
      <c r="J83" s="45"/>
      <c r="K83" s="46" t="s">
        <v>23</v>
      </c>
      <c r="L83" s="36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spans="1:28" ht="30" customHeight="1" x14ac:dyDescent="0.3">
      <c r="A84" s="55" t="s">
        <v>258</v>
      </c>
      <c r="B84" s="22"/>
      <c r="C84" s="22"/>
      <c r="D84" s="22"/>
      <c r="E84" s="22"/>
      <c r="F84" s="22"/>
      <c r="G84" s="22"/>
      <c r="H84" s="22"/>
      <c r="I84" s="22"/>
      <c r="J84" s="22"/>
      <c r="K84" s="23"/>
      <c r="L84" s="25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spans="1:28" ht="30" customHeight="1" x14ac:dyDescent="0.3">
      <c r="A85" s="28">
        <f t="shared" ref="A85:A103" si="10">ROW()-84</f>
        <v>1</v>
      </c>
      <c r="B85" s="33" t="s">
        <v>17</v>
      </c>
      <c r="C85" s="28" t="s">
        <v>200</v>
      </c>
      <c r="D85" s="28" t="s">
        <v>201</v>
      </c>
      <c r="E85" s="28" t="s">
        <v>202</v>
      </c>
      <c r="F85" s="32" t="str">
        <f t="shared" ref="F85:F103" si="11">IF(K85="Passed","Found as per as expectations","Found not as per as exdpectations")</f>
        <v>Found as per as expectations</v>
      </c>
      <c r="G85" s="32" t="s">
        <v>21</v>
      </c>
      <c r="H85" s="28" t="s">
        <v>259</v>
      </c>
      <c r="I85" s="35"/>
      <c r="J85" s="33"/>
      <c r="K85" s="36" t="s">
        <v>23</v>
      </c>
      <c r="L85" s="33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spans="1:28" ht="30" customHeight="1" x14ac:dyDescent="0.3">
      <c r="A86" s="28">
        <f t="shared" si="10"/>
        <v>2</v>
      </c>
      <c r="B86" s="32"/>
      <c r="C86" s="25" t="s">
        <v>260</v>
      </c>
      <c r="D86" s="28" t="s">
        <v>205</v>
      </c>
      <c r="E86" s="25" t="s">
        <v>206</v>
      </c>
      <c r="F86" s="32" t="str">
        <f t="shared" si="11"/>
        <v>Found as per as expectations</v>
      </c>
      <c r="G86" s="32" t="s">
        <v>21</v>
      </c>
      <c r="H86" s="28" t="s">
        <v>259</v>
      </c>
      <c r="I86" s="38"/>
      <c r="J86" s="39"/>
      <c r="K86" s="36" t="s">
        <v>23</v>
      </c>
      <c r="L86" s="40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 spans="1:28" ht="30" customHeight="1" x14ac:dyDescent="0.3">
      <c r="A87" s="28">
        <f t="shared" si="10"/>
        <v>3</v>
      </c>
      <c r="B87" s="32"/>
      <c r="C87" s="28" t="s">
        <v>207</v>
      </c>
      <c r="D87" s="28" t="s">
        <v>208</v>
      </c>
      <c r="E87" s="28" t="s">
        <v>209</v>
      </c>
      <c r="F87" s="32" t="str">
        <f t="shared" si="11"/>
        <v>Found as per as expectations</v>
      </c>
      <c r="G87" s="32" t="s">
        <v>21</v>
      </c>
      <c r="H87" s="28" t="s">
        <v>261</v>
      </c>
      <c r="I87" s="35"/>
      <c r="J87" s="40"/>
      <c r="K87" s="36" t="s">
        <v>23</v>
      </c>
      <c r="L87" s="40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spans="1:28" ht="30" customHeight="1" x14ac:dyDescent="0.3">
      <c r="A88" s="28">
        <f t="shared" si="10"/>
        <v>4</v>
      </c>
      <c r="B88" s="32"/>
      <c r="C88" s="28" t="s">
        <v>262</v>
      </c>
      <c r="D88" s="28" t="s">
        <v>263</v>
      </c>
      <c r="E88" s="28" t="s">
        <v>264</v>
      </c>
      <c r="F88" s="32" t="str">
        <f t="shared" si="11"/>
        <v>Found as per as expectations</v>
      </c>
      <c r="G88" s="32" t="s">
        <v>265</v>
      </c>
      <c r="H88" s="28" t="s">
        <v>259</v>
      </c>
      <c r="I88" s="35"/>
      <c r="J88" s="40"/>
      <c r="K88" s="36" t="s">
        <v>23</v>
      </c>
      <c r="L88" s="40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spans="1:28" ht="30" customHeight="1" x14ac:dyDescent="0.3">
      <c r="A89" s="28">
        <f t="shared" si="10"/>
        <v>5</v>
      </c>
      <c r="B89" s="32"/>
      <c r="C89" s="28" t="s">
        <v>266</v>
      </c>
      <c r="D89" s="28" t="s">
        <v>267</v>
      </c>
      <c r="E89" s="28" t="s">
        <v>268</v>
      </c>
      <c r="F89" s="32" t="str">
        <f t="shared" si="11"/>
        <v>Found as per as expectations</v>
      </c>
      <c r="G89" s="32" t="s">
        <v>21</v>
      </c>
      <c r="H89" s="28" t="s">
        <v>259</v>
      </c>
      <c r="I89" s="35"/>
      <c r="J89" s="40"/>
      <c r="K89" s="36" t="s">
        <v>23</v>
      </c>
      <c r="L89" s="40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spans="1:28" ht="30" customHeight="1" x14ac:dyDescent="0.3">
      <c r="A90" s="28">
        <f t="shared" si="10"/>
        <v>6</v>
      </c>
      <c r="B90" s="32"/>
      <c r="C90" s="28" t="s">
        <v>210</v>
      </c>
      <c r="D90" s="28" t="s">
        <v>211</v>
      </c>
      <c r="E90" s="28" t="s">
        <v>212</v>
      </c>
      <c r="F90" s="32" t="str">
        <f t="shared" si="11"/>
        <v>Found as per as expectations</v>
      </c>
      <c r="G90" s="32" t="s">
        <v>21</v>
      </c>
      <c r="H90" s="28" t="s">
        <v>259</v>
      </c>
      <c r="I90" s="43"/>
      <c r="J90" s="41"/>
      <c r="K90" s="36" t="s">
        <v>23</v>
      </c>
      <c r="L90" s="41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spans="1:28" ht="30" customHeight="1" x14ac:dyDescent="0.3">
      <c r="A91" s="28">
        <f t="shared" si="10"/>
        <v>7</v>
      </c>
      <c r="B91" s="53" t="s">
        <v>71</v>
      </c>
      <c r="C91" s="28" t="s">
        <v>269</v>
      </c>
      <c r="D91" s="28" t="s">
        <v>270</v>
      </c>
      <c r="E91" s="28" t="s">
        <v>271</v>
      </c>
      <c r="F91" s="32" t="str">
        <f t="shared" si="11"/>
        <v>Found as per as expectations</v>
      </c>
      <c r="G91" s="32" t="s">
        <v>21</v>
      </c>
      <c r="H91" s="28" t="s">
        <v>259</v>
      </c>
      <c r="I91" s="43"/>
      <c r="J91" s="41"/>
      <c r="K91" s="36" t="s">
        <v>23</v>
      </c>
      <c r="L91" s="41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ht="30" customHeight="1" x14ac:dyDescent="0.3">
      <c r="A92" s="28">
        <f t="shared" si="10"/>
        <v>8</v>
      </c>
      <c r="B92" s="32"/>
      <c r="C92" s="28" t="s">
        <v>272</v>
      </c>
      <c r="D92" s="28" t="s">
        <v>273</v>
      </c>
      <c r="E92" s="28" t="s">
        <v>274</v>
      </c>
      <c r="F92" s="32" t="str">
        <f t="shared" si="11"/>
        <v>Found as per as expectations</v>
      </c>
      <c r="G92" s="28" t="s">
        <v>275</v>
      </c>
      <c r="H92" s="28" t="s">
        <v>276</v>
      </c>
      <c r="I92" s="24"/>
      <c r="J92" s="45"/>
      <c r="K92" s="36" t="s">
        <v>23</v>
      </c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spans="1:28" ht="30" customHeight="1" x14ac:dyDescent="0.3">
      <c r="A93" s="28">
        <f t="shared" si="10"/>
        <v>9</v>
      </c>
      <c r="B93" s="32"/>
      <c r="C93" s="28" t="s">
        <v>272</v>
      </c>
      <c r="D93" s="28" t="s">
        <v>277</v>
      </c>
      <c r="E93" s="28" t="s">
        <v>274</v>
      </c>
      <c r="F93" s="32" t="str">
        <f t="shared" si="11"/>
        <v>Found as per as expectations</v>
      </c>
      <c r="G93" s="28" t="s">
        <v>278</v>
      </c>
      <c r="H93" s="28" t="s">
        <v>276</v>
      </c>
      <c r="I93" s="44"/>
      <c r="J93" s="45"/>
      <c r="K93" s="36" t="s">
        <v>23</v>
      </c>
      <c r="L93" s="36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 spans="1:28" ht="30" customHeight="1" x14ac:dyDescent="0.3">
      <c r="A94" s="28">
        <f t="shared" si="10"/>
        <v>10</v>
      </c>
      <c r="B94" s="83"/>
      <c r="C94" s="28" t="s">
        <v>279</v>
      </c>
      <c r="D94" s="28" t="s">
        <v>280</v>
      </c>
      <c r="E94" s="28" t="s">
        <v>281</v>
      </c>
      <c r="F94" s="32" t="str">
        <f t="shared" si="11"/>
        <v>Found as per as expectations</v>
      </c>
      <c r="G94" s="32" t="s">
        <v>237</v>
      </c>
      <c r="H94" s="28" t="s">
        <v>282</v>
      </c>
      <c r="I94" s="49"/>
      <c r="J94" s="50"/>
      <c r="K94" s="36" t="s">
        <v>23</v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spans="1:28" ht="30" customHeight="1" x14ac:dyDescent="0.3">
      <c r="A95" s="28">
        <f t="shared" si="10"/>
        <v>11</v>
      </c>
      <c r="B95" s="32"/>
      <c r="C95" s="28" t="s">
        <v>283</v>
      </c>
      <c r="D95" s="28" t="s">
        <v>284</v>
      </c>
      <c r="E95" s="28" t="s">
        <v>285</v>
      </c>
      <c r="F95" s="32" t="str">
        <f t="shared" si="11"/>
        <v>Found as per as expectations</v>
      </c>
      <c r="G95" s="32" t="s">
        <v>237</v>
      </c>
      <c r="H95" s="28" t="s">
        <v>276</v>
      </c>
      <c r="I95" s="44"/>
      <c r="J95" s="45"/>
      <c r="K95" s="46" t="s">
        <v>23</v>
      </c>
      <c r="L95" s="36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 spans="1:28" ht="30" customHeight="1" x14ac:dyDescent="0.3">
      <c r="A96" s="28">
        <f t="shared" si="10"/>
        <v>12</v>
      </c>
      <c r="B96" s="28"/>
      <c r="C96" s="28" t="s">
        <v>243</v>
      </c>
      <c r="D96" s="28" t="s">
        <v>244</v>
      </c>
      <c r="E96" s="28" t="s">
        <v>245</v>
      </c>
      <c r="F96" s="32" t="str">
        <f t="shared" si="11"/>
        <v>Found as per as expectations</v>
      </c>
      <c r="G96" s="32" t="s">
        <v>246</v>
      </c>
      <c r="H96" s="28" t="s">
        <v>286</v>
      </c>
      <c r="I96" s="54"/>
      <c r="J96" s="41"/>
      <c r="K96" s="36" t="s">
        <v>23</v>
      </c>
      <c r="L96" s="41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 spans="1:28" ht="30" customHeight="1" x14ac:dyDescent="0.3">
      <c r="A97" s="28">
        <f t="shared" si="10"/>
        <v>13</v>
      </c>
      <c r="B97" s="28"/>
      <c r="C97" s="28" t="s">
        <v>287</v>
      </c>
      <c r="D97" s="28" t="s">
        <v>288</v>
      </c>
      <c r="E97" s="28" t="s">
        <v>289</v>
      </c>
      <c r="F97" s="32" t="str">
        <f t="shared" si="11"/>
        <v>Found as per as expectations</v>
      </c>
      <c r="G97" s="32" t="s">
        <v>21</v>
      </c>
      <c r="H97" s="28" t="s">
        <v>290</v>
      </c>
      <c r="I97" s="54"/>
      <c r="J97" s="41"/>
      <c r="K97" s="36" t="s">
        <v>23</v>
      </c>
      <c r="L97" s="41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 spans="1:28" ht="30" customHeight="1" x14ac:dyDescent="0.3">
      <c r="A98" s="28">
        <f t="shared" si="10"/>
        <v>14</v>
      </c>
      <c r="B98" s="28"/>
      <c r="C98" s="28" t="s">
        <v>291</v>
      </c>
      <c r="D98" s="28" t="s">
        <v>292</v>
      </c>
      <c r="E98" s="28" t="s">
        <v>293</v>
      </c>
      <c r="F98" s="32" t="str">
        <f t="shared" si="11"/>
        <v>Found as per as expectations</v>
      </c>
      <c r="G98" s="32" t="s">
        <v>21</v>
      </c>
      <c r="H98" s="28" t="s">
        <v>294</v>
      </c>
      <c r="I98" s="54"/>
      <c r="J98" s="41"/>
      <c r="K98" s="36" t="s">
        <v>23</v>
      </c>
      <c r="L98" s="41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 spans="1:28" ht="30" customHeight="1" x14ac:dyDescent="0.3">
      <c r="A99" s="28">
        <f t="shared" si="10"/>
        <v>15</v>
      </c>
      <c r="B99" s="28"/>
      <c r="C99" s="28" t="s">
        <v>295</v>
      </c>
      <c r="D99" s="28" t="s">
        <v>296</v>
      </c>
      <c r="E99" s="28" t="s">
        <v>297</v>
      </c>
      <c r="F99" s="32" t="str">
        <f t="shared" si="11"/>
        <v>Found as per as expectations</v>
      </c>
      <c r="G99" s="32" t="s">
        <v>298</v>
      </c>
      <c r="H99" s="28" t="s">
        <v>299</v>
      </c>
      <c r="I99" s="54"/>
      <c r="J99" s="41"/>
      <c r="K99" s="36" t="s">
        <v>23</v>
      </c>
      <c r="L99" s="41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 spans="1:28" ht="30" customHeight="1" x14ac:dyDescent="0.3">
      <c r="A100" s="28">
        <f t="shared" si="10"/>
        <v>16</v>
      </c>
      <c r="B100" s="28"/>
      <c r="C100" s="28" t="s">
        <v>300</v>
      </c>
      <c r="D100" s="28" t="s">
        <v>301</v>
      </c>
      <c r="E100" s="28" t="s">
        <v>302</v>
      </c>
      <c r="F100" s="32" t="str">
        <f t="shared" si="11"/>
        <v>Found as per as expectations</v>
      </c>
      <c r="G100" s="32" t="s">
        <v>298</v>
      </c>
      <c r="H100" s="28" t="s">
        <v>303</v>
      </c>
      <c r="I100" s="54"/>
      <c r="J100" s="41"/>
      <c r="K100" s="36" t="s">
        <v>23</v>
      </c>
      <c r="L100" s="41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 spans="1:28" ht="30" customHeight="1" x14ac:dyDescent="0.3">
      <c r="A101" s="28">
        <f t="shared" si="10"/>
        <v>17</v>
      </c>
      <c r="B101" s="28" t="s">
        <v>248</v>
      </c>
      <c r="C101" s="28" t="s">
        <v>249</v>
      </c>
      <c r="D101" s="28" t="s">
        <v>250</v>
      </c>
      <c r="E101" s="25" t="s">
        <v>251</v>
      </c>
      <c r="F101" s="32" t="str">
        <f t="shared" si="11"/>
        <v>Found as per as expectations</v>
      </c>
      <c r="G101" s="32" t="s">
        <v>252</v>
      </c>
      <c r="H101" s="28" t="s">
        <v>304</v>
      </c>
      <c r="I101" s="44"/>
      <c r="J101" s="45"/>
      <c r="K101" s="46" t="s">
        <v>23</v>
      </c>
      <c r="L101" s="36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 spans="1:28" ht="30" customHeight="1" x14ac:dyDescent="0.3">
      <c r="A102" s="28">
        <f t="shared" si="10"/>
        <v>18</v>
      </c>
      <c r="B102" s="28"/>
      <c r="C102" s="28" t="s">
        <v>305</v>
      </c>
      <c r="D102" s="28" t="s">
        <v>306</v>
      </c>
      <c r="E102" s="28" t="s">
        <v>307</v>
      </c>
      <c r="F102" s="32" t="str">
        <f t="shared" si="11"/>
        <v>Found as per as expectations</v>
      </c>
      <c r="G102" s="28" t="s">
        <v>308</v>
      </c>
      <c r="H102" s="28" t="s">
        <v>309</v>
      </c>
      <c r="I102" s="44"/>
      <c r="J102" s="45"/>
      <c r="K102" s="46" t="s">
        <v>23</v>
      </c>
      <c r="L102" s="36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 spans="1:28" ht="30" customHeight="1" x14ac:dyDescent="0.3">
      <c r="A103" s="28">
        <f t="shared" si="10"/>
        <v>19</v>
      </c>
      <c r="B103" s="56" t="s">
        <v>151</v>
      </c>
      <c r="C103" s="28" t="s">
        <v>310</v>
      </c>
      <c r="D103" s="28" t="s">
        <v>152</v>
      </c>
      <c r="E103" s="28" t="s">
        <v>153</v>
      </c>
      <c r="F103" s="32" t="str">
        <f t="shared" si="11"/>
        <v>Found as per as expectations</v>
      </c>
      <c r="G103" s="28" t="s">
        <v>154</v>
      </c>
      <c r="H103" s="28" t="s">
        <v>311</v>
      </c>
      <c r="I103" s="26"/>
      <c r="J103" s="28"/>
      <c r="K103" s="46" t="s">
        <v>23</v>
      </c>
      <c r="L103" s="25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 spans="1:28" ht="30" customHeight="1" x14ac:dyDescent="0.3">
      <c r="A104" s="55" t="s">
        <v>312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2"/>
    </row>
    <row r="105" spans="1:28" ht="30" customHeight="1" x14ac:dyDescent="0.3">
      <c r="A105" s="28">
        <f t="shared" ref="A105:A119" si="12">ROW()-104</f>
        <v>1</v>
      </c>
      <c r="B105" s="33" t="s">
        <v>17</v>
      </c>
      <c r="C105" s="28" t="s">
        <v>200</v>
      </c>
      <c r="D105" s="28" t="s">
        <v>201</v>
      </c>
      <c r="E105" s="28" t="s">
        <v>202</v>
      </c>
      <c r="F105" s="32" t="str">
        <f t="shared" ref="F105:F119" si="13">IF(K105="Passed","Found as per as expectations","Found not as per as exdpectations")</f>
        <v>Found as per as expectations</v>
      </c>
      <c r="G105" s="32" t="s">
        <v>21</v>
      </c>
      <c r="H105" s="32" t="s">
        <v>313</v>
      </c>
      <c r="I105" s="35"/>
      <c r="J105" s="33"/>
      <c r="K105" s="36" t="s">
        <v>23</v>
      </c>
      <c r="L105" s="33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 spans="1:28" ht="30" customHeight="1" x14ac:dyDescent="0.3">
      <c r="A106" s="28">
        <f t="shared" si="12"/>
        <v>2</v>
      </c>
      <c r="B106" s="32"/>
      <c r="C106" s="28" t="s">
        <v>314</v>
      </c>
      <c r="D106" s="28" t="s">
        <v>315</v>
      </c>
      <c r="E106" s="28" t="s">
        <v>316</v>
      </c>
      <c r="F106" s="32" t="str">
        <f t="shared" si="13"/>
        <v>Found as per as expectations</v>
      </c>
      <c r="G106" s="32" t="s">
        <v>21</v>
      </c>
      <c r="H106" s="32" t="s">
        <v>313</v>
      </c>
      <c r="I106" s="38"/>
      <c r="J106" s="39"/>
      <c r="K106" s="36" t="s">
        <v>23</v>
      </c>
      <c r="L106" s="40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 spans="1:28" ht="30" customHeight="1" x14ac:dyDescent="0.3">
      <c r="A107" s="28">
        <f t="shared" si="12"/>
        <v>3</v>
      </c>
      <c r="B107" s="32"/>
      <c r="C107" s="28" t="s">
        <v>207</v>
      </c>
      <c r="D107" s="28" t="s">
        <v>208</v>
      </c>
      <c r="E107" s="28" t="s">
        <v>209</v>
      </c>
      <c r="F107" s="32" t="str">
        <f t="shared" si="13"/>
        <v>Found as per as expectations</v>
      </c>
      <c r="G107" s="32" t="s">
        <v>21</v>
      </c>
      <c r="H107" s="32" t="s">
        <v>313</v>
      </c>
      <c r="I107" s="35"/>
      <c r="J107" s="40"/>
      <c r="K107" s="36" t="s">
        <v>23</v>
      </c>
      <c r="L107" s="40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 spans="1:28" ht="30" customHeight="1" x14ac:dyDescent="0.3">
      <c r="A108" s="28">
        <f t="shared" si="12"/>
        <v>4</v>
      </c>
      <c r="B108" s="32"/>
      <c r="C108" s="28" t="s">
        <v>210</v>
      </c>
      <c r="D108" s="28" t="s">
        <v>211</v>
      </c>
      <c r="E108" s="28" t="s">
        <v>212</v>
      </c>
      <c r="F108" s="32" t="str">
        <f t="shared" si="13"/>
        <v>Found as per as expectations</v>
      </c>
      <c r="G108" s="32" t="s">
        <v>21</v>
      </c>
      <c r="H108" s="32" t="s">
        <v>313</v>
      </c>
      <c r="I108" s="43"/>
      <c r="J108" s="41"/>
      <c r="K108" s="36" t="s">
        <v>23</v>
      </c>
      <c r="L108" s="41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 spans="1:28" ht="30" customHeight="1" x14ac:dyDescent="0.3">
      <c r="A109" s="28">
        <f t="shared" si="12"/>
        <v>5</v>
      </c>
      <c r="B109" s="53" t="s">
        <v>71</v>
      </c>
      <c r="C109" s="28" t="s">
        <v>216</v>
      </c>
      <c r="D109" s="28" t="s">
        <v>217</v>
      </c>
      <c r="E109" s="28" t="s">
        <v>218</v>
      </c>
      <c r="F109" s="32" t="str">
        <f t="shared" si="13"/>
        <v>Found as per as expectations</v>
      </c>
      <c r="G109" s="32" t="s">
        <v>21</v>
      </c>
      <c r="H109" s="32" t="s">
        <v>313</v>
      </c>
      <c r="I109" s="43"/>
      <c r="J109" s="41"/>
      <c r="K109" s="36" t="s">
        <v>23</v>
      </c>
      <c r="L109" s="41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 spans="1:28" ht="30" customHeight="1" x14ac:dyDescent="0.3">
      <c r="A110" s="28">
        <f t="shared" si="12"/>
        <v>6</v>
      </c>
      <c r="B110" s="32"/>
      <c r="C110" s="28" t="s">
        <v>216</v>
      </c>
      <c r="D110" s="28" t="s">
        <v>219</v>
      </c>
      <c r="E110" s="28" t="s">
        <v>220</v>
      </c>
      <c r="F110" s="32" t="str">
        <f t="shared" si="13"/>
        <v>Found as per as expectations</v>
      </c>
      <c r="G110" s="34">
        <v>123456</v>
      </c>
      <c r="H110" s="32" t="s">
        <v>313</v>
      </c>
      <c r="I110" s="43"/>
      <c r="J110" s="41"/>
      <c r="K110" s="36" t="s">
        <v>23</v>
      </c>
      <c r="L110" s="41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 spans="1:28" ht="30" customHeight="1" x14ac:dyDescent="0.3">
      <c r="A111" s="28">
        <f t="shared" si="12"/>
        <v>7</v>
      </c>
      <c r="B111" s="32"/>
      <c r="C111" s="28" t="s">
        <v>216</v>
      </c>
      <c r="D111" s="28" t="s">
        <v>317</v>
      </c>
      <c r="E111" s="28" t="s">
        <v>318</v>
      </c>
      <c r="F111" s="32" t="str">
        <f t="shared" si="13"/>
        <v>Found as per as expectations</v>
      </c>
      <c r="G111" s="32" t="s">
        <v>224</v>
      </c>
      <c r="H111" s="32" t="s">
        <v>313</v>
      </c>
      <c r="I111" s="43"/>
      <c r="J111" s="41"/>
      <c r="K111" s="36" t="s">
        <v>23</v>
      </c>
      <c r="L111" s="41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 spans="1:28" ht="30" customHeight="1" x14ac:dyDescent="0.3">
      <c r="A112" s="28">
        <f t="shared" si="12"/>
        <v>8</v>
      </c>
      <c r="B112" s="32"/>
      <c r="C112" s="28" t="s">
        <v>226</v>
      </c>
      <c r="D112" s="28" t="s">
        <v>319</v>
      </c>
      <c r="E112" s="28" t="s">
        <v>228</v>
      </c>
      <c r="F112" s="32" t="str">
        <f t="shared" si="13"/>
        <v>Found not as per as exdpectations</v>
      </c>
      <c r="G112" s="28" t="s">
        <v>229</v>
      </c>
      <c r="H112" s="32" t="s">
        <v>313</v>
      </c>
      <c r="I112" s="24" t="s">
        <v>57</v>
      </c>
      <c r="J112" s="45"/>
      <c r="K112" s="46" t="s">
        <v>58</v>
      </c>
      <c r="L112" s="28" t="s">
        <v>230</v>
      </c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 spans="1:28" ht="30" customHeight="1" x14ac:dyDescent="0.3">
      <c r="A113" s="28">
        <f t="shared" si="12"/>
        <v>9</v>
      </c>
      <c r="B113" s="32"/>
      <c r="C113" s="28" t="s">
        <v>231</v>
      </c>
      <c r="D113" s="28" t="s">
        <v>320</v>
      </c>
      <c r="E113" s="28" t="s">
        <v>321</v>
      </c>
      <c r="F113" s="32" t="str">
        <f t="shared" si="13"/>
        <v>Found as per as expectations</v>
      </c>
      <c r="G113" s="32" t="s">
        <v>21</v>
      </c>
      <c r="H113" s="32" t="s">
        <v>313</v>
      </c>
      <c r="I113" s="44"/>
      <c r="J113" s="45"/>
      <c r="K113" s="46" t="s">
        <v>23</v>
      </c>
      <c r="L113" s="36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 spans="1:28" ht="30" customHeight="1" x14ac:dyDescent="0.3">
      <c r="A114" s="28">
        <f t="shared" si="12"/>
        <v>10</v>
      </c>
      <c r="B114" s="83"/>
      <c r="C114" s="28" t="s">
        <v>322</v>
      </c>
      <c r="D114" s="28" t="s">
        <v>323</v>
      </c>
      <c r="E114" s="28" t="s">
        <v>324</v>
      </c>
      <c r="F114" s="32" t="str">
        <f t="shared" si="13"/>
        <v>Found as per as expectations</v>
      </c>
      <c r="G114" s="32" t="s">
        <v>237</v>
      </c>
      <c r="H114" s="32" t="s">
        <v>313</v>
      </c>
      <c r="I114" s="49"/>
      <c r="J114" s="50"/>
      <c r="K114" s="46" t="s">
        <v>23</v>
      </c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 spans="1:28" ht="30" customHeight="1" x14ac:dyDescent="0.3">
      <c r="A115" s="28">
        <f t="shared" si="12"/>
        <v>11</v>
      </c>
      <c r="B115" s="32"/>
      <c r="C115" s="28" t="s">
        <v>322</v>
      </c>
      <c r="D115" s="28" t="s">
        <v>325</v>
      </c>
      <c r="E115" s="28" t="s">
        <v>324</v>
      </c>
      <c r="F115" s="32" t="str">
        <f t="shared" si="13"/>
        <v>Found as per as expectations</v>
      </c>
      <c r="G115" s="28" t="s">
        <v>241</v>
      </c>
      <c r="H115" s="32" t="s">
        <v>313</v>
      </c>
      <c r="I115" s="44"/>
      <c r="J115" s="45"/>
      <c r="K115" s="46" t="s">
        <v>23</v>
      </c>
      <c r="L115" s="36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 spans="1:28" ht="30" customHeight="1" x14ac:dyDescent="0.3">
      <c r="A116" s="28">
        <f t="shared" si="12"/>
        <v>12</v>
      </c>
      <c r="B116" s="32"/>
      <c r="C116" s="28" t="s">
        <v>326</v>
      </c>
      <c r="D116" s="28" t="s">
        <v>327</v>
      </c>
      <c r="E116" s="28" t="s">
        <v>328</v>
      </c>
      <c r="F116" s="32" t="str">
        <f t="shared" si="13"/>
        <v>Found as per as expectations</v>
      </c>
      <c r="G116" s="28" t="s">
        <v>241</v>
      </c>
      <c r="H116" s="32" t="s">
        <v>313</v>
      </c>
      <c r="I116" s="44"/>
      <c r="J116" s="45"/>
      <c r="K116" s="46" t="s">
        <v>23</v>
      </c>
      <c r="L116" s="36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 spans="1:28" ht="30" customHeight="1" x14ac:dyDescent="0.3">
      <c r="A117" s="28">
        <f t="shared" si="12"/>
        <v>13</v>
      </c>
      <c r="B117" s="28"/>
      <c r="C117" s="28" t="s">
        <v>243</v>
      </c>
      <c r="D117" s="28" t="s">
        <v>244</v>
      </c>
      <c r="E117" s="28" t="s">
        <v>245</v>
      </c>
      <c r="F117" s="32" t="str">
        <f t="shared" si="13"/>
        <v>Found as per as expectations</v>
      </c>
      <c r="G117" s="32" t="s">
        <v>246</v>
      </c>
      <c r="H117" s="32" t="s">
        <v>313</v>
      </c>
      <c r="I117" s="54"/>
      <c r="J117" s="41"/>
      <c r="K117" s="36" t="s">
        <v>23</v>
      </c>
      <c r="L117" s="41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 spans="1:28" ht="30" customHeight="1" x14ac:dyDescent="0.3">
      <c r="A118" s="28">
        <f t="shared" si="12"/>
        <v>14</v>
      </c>
      <c r="B118" s="28" t="s">
        <v>248</v>
      </c>
      <c r="C118" s="28" t="s">
        <v>249</v>
      </c>
      <c r="D118" s="28" t="s">
        <v>250</v>
      </c>
      <c r="E118" s="25" t="s">
        <v>251</v>
      </c>
      <c r="F118" s="32" t="str">
        <f t="shared" si="13"/>
        <v>Found as per as expectations</v>
      </c>
      <c r="G118" s="32" t="s">
        <v>252</v>
      </c>
      <c r="H118" s="32" t="s">
        <v>313</v>
      </c>
      <c r="I118" s="44"/>
      <c r="J118" s="45"/>
      <c r="K118" s="46" t="s">
        <v>23</v>
      </c>
      <c r="L118" s="36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 spans="1:28" ht="30" customHeight="1" x14ac:dyDescent="0.3">
      <c r="A119" s="28">
        <f t="shared" si="12"/>
        <v>15</v>
      </c>
      <c r="B119" s="28" t="s">
        <v>151</v>
      </c>
      <c r="C119" s="28" t="s">
        <v>254</v>
      </c>
      <c r="D119" s="28" t="s">
        <v>255</v>
      </c>
      <c r="E119" s="28" t="s">
        <v>256</v>
      </c>
      <c r="F119" s="32" t="str">
        <f t="shared" si="13"/>
        <v>Found as per as expectations</v>
      </c>
      <c r="G119" s="32" t="s">
        <v>21</v>
      </c>
      <c r="H119" s="32" t="s">
        <v>313</v>
      </c>
      <c r="I119" s="44"/>
      <c r="J119" s="45"/>
      <c r="K119" s="46" t="s">
        <v>23</v>
      </c>
      <c r="L119" s="36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 spans="1:28" ht="30" customHeight="1" x14ac:dyDescent="0.3">
      <c r="A120" s="55" t="s">
        <v>329</v>
      </c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63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 spans="1:28" ht="30" customHeight="1" x14ac:dyDescent="0.3">
      <c r="A121" s="32">
        <f t="shared" ref="A121:A143" si="14">ROW()-120</f>
        <v>1</v>
      </c>
      <c r="B121" s="33" t="s">
        <v>17</v>
      </c>
      <c r="C121" s="25" t="s">
        <v>330</v>
      </c>
      <c r="D121" s="25" t="s">
        <v>331</v>
      </c>
      <c r="E121" s="25" t="s">
        <v>332</v>
      </c>
      <c r="F121" s="32" t="str">
        <f t="shared" ref="F121:F143" si="15">IF(K121="Passed","Found as per as expectations","Found not as per as exdpectations")</f>
        <v>Found as per as expectations</v>
      </c>
      <c r="G121" s="32" t="s">
        <v>333</v>
      </c>
      <c r="H121" s="28" t="s">
        <v>334</v>
      </c>
      <c r="I121" s="35"/>
      <c r="J121" s="33"/>
      <c r="K121" s="36" t="s">
        <v>23</v>
      </c>
      <c r="L121" s="64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 spans="1:28" ht="30" customHeight="1" x14ac:dyDescent="0.3">
      <c r="A122" s="32">
        <f t="shared" si="14"/>
        <v>2</v>
      </c>
      <c r="B122" s="32"/>
      <c r="C122" s="28" t="s">
        <v>335</v>
      </c>
      <c r="D122" s="28" t="s">
        <v>336</v>
      </c>
      <c r="E122" s="28" t="s">
        <v>337</v>
      </c>
      <c r="F122" s="32" t="str">
        <f t="shared" si="15"/>
        <v>Found as per as expectations</v>
      </c>
      <c r="G122" s="32" t="s">
        <v>333</v>
      </c>
      <c r="H122" s="28" t="s">
        <v>334</v>
      </c>
      <c r="I122" s="38"/>
      <c r="J122" s="39"/>
      <c r="K122" s="36" t="s">
        <v>23</v>
      </c>
      <c r="L122" s="64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 spans="1:28" ht="30" customHeight="1" x14ac:dyDescent="0.3">
      <c r="A123" s="32">
        <f t="shared" si="14"/>
        <v>3</v>
      </c>
      <c r="B123" s="32"/>
      <c r="C123" s="28" t="s">
        <v>335</v>
      </c>
      <c r="D123" s="28" t="s">
        <v>338</v>
      </c>
      <c r="E123" s="28" t="s">
        <v>339</v>
      </c>
      <c r="F123" s="32" t="str">
        <f t="shared" si="15"/>
        <v>Found as per as expectations</v>
      </c>
      <c r="G123" s="32" t="s">
        <v>333</v>
      </c>
      <c r="H123" s="28" t="s">
        <v>334</v>
      </c>
      <c r="I123" s="35"/>
      <c r="J123" s="40"/>
      <c r="K123" s="36" t="s">
        <v>23</v>
      </c>
      <c r="L123" s="64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 spans="1:28" ht="30" customHeight="1" x14ac:dyDescent="0.3">
      <c r="A124" s="32">
        <f t="shared" si="14"/>
        <v>4</v>
      </c>
      <c r="B124" s="32"/>
      <c r="C124" s="28" t="s">
        <v>335</v>
      </c>
      <c r="D124" s="28" t="s">
        <v>340</v>
      </c>
      <c r="E124" s="28" t="s">
        <v>264</v>
      </c>
      <c r="F124" s="32" t="str">
        <f t="shared" si="15"/>
        <v>Found as per as expectations</v>
      </c>
      <c r="G124" s="32" t="s">
        <v>333</v>
      </c>
      <c r="H124" s="28" t="s">
        <v>334</v>
      </c>
      <c r="I124" s="35"/>
      <c r="J124" s="40"/>
      <c r="K124" s="36" t="s">
        <v>23</v>
      </c>
      <c r="L124" s="64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 spans="1:28" ht="30" customHeight="1" x14ac:dyDescent="0.3">
      <c r="A125" s="32">
        <f t="shared" si="14"/>
        <v>5</v>
      </c>
      <c r="B125" s="32"/>
      <c r="C125" s="28" t="s">
        <v>335</v>
      </c>
      <c r="D125" s="28" t="s">
        <v>341</v>
      </c>
      <c r="E125" s="28" t="s">
        <v>342</v>
      </c>
      <c r="F125" s="32" t="str">
        <f t="shared" si="15"/>
        <v>Found as per as expectations</v>
      </c>
      <c r="G125" s="32" t="s">
        <v>333</v>
      </c>
      <c r="H125" s="28" t="s">
        <v>334</v>
      </c>
      <c r="I125" s="35"/>
      <c r="J125" s="40"/>
      <c r="K125" s="36" t="s">
        <v>23</v>
      </c>
      <c r="L125" s="64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 spans="1:28" ht="30" customHeight="1" x14ac:dyDescent="0.3">
      <c r="A126" s="32">
        <f t="shared" si="14"/>
        <v>6</v>
      </c>
      <c r="B126" s="32"/>
      <c r="C126" s="28" t="s">
        <v>343</v>
      </c>
      <c r="D126" s="28" t="s">
        <v>344</v>
      </c>
      <c r="E126" s="28" t="s">
        <v>345</v>
      </c>
      <c r="F126" s="32" t="str">
        <f t="shared" si="15"/>
        <v>Found as per as expectations</v>
      </c>
      <c r="G126" s="32" t="s">
        <v>333</v>
      </c>
      <c r="H126" s="28" t="s">
        <v>334</v>
      </c>
      <c r="I126" s="35"/>
      <c r="J126" s="40"/>
      <c r="K126" s="36" t="s">
        <v>23</v>
      </c>
      <c r="L126" s="64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 spans="1:28" ht="30" customHeight="1" x14ac:dyDescent="0.3">
      <c r="A127" s="32">
        <f t="shared" si="14"/>
        <v>7</v>
      </c>
      <c r="B127" s="32"/>
      <c r="C127" s="28" t="s">
        <v>346</v>
      </c>
      <c r="D127" s="28" t="s">
        <v>347</v>
      </c>
      <c r="E127" s="28" t="s">
        <v>348</v>
      </c>
      <c r="F127" s="32" t="str">
        <f t="shared" si="15"/>
        <v>Found as per as expectations</v>
      </c>
      <c r="G127" s="32" t="s">
        <v>333</v>
      </c>
      <c r="H127" s="28" t="s">
        <v>334</v>
      </c>
      <c r="I127" s="35"/>
      <c r="J127" s="40"/>
      <c r="K127" s="36" t="s">
        <v>23</v>
      </c>
      <c r="L127" s="64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 spans="1:28" ht="30" customHeight="1" x14ac:dyDescent="0.3">
      <c r="A128" s="32">
        <f t="shared" si="14"/>
        <v>8</v>
      </c>
      <c r="B128" s="32"/>
      <c r="C128" s="25" t="s">
        <v>349</v>
      </c>
      <c r="D128" s="28" t="s">
        <v>350</v>
      </c>
      <c r="E128" s="28" t="s">
        <v>351</v>
      </c>
      <c r="F128" s="32" t="str">
        <f t="shared" si="15"/>
        <v>Found as per as expectations</v>
      </c>
      <c r="G128" s="32" t="s">
        <v>333</v>
      </c>
      <c r="H128" s="28" t="s">
        <v>334</v>
      </c>
      <c r="I128" s="35"/>
      <c r="J128" s="40"/>
      <c r="K128" s="36" t="s">
        <v>23</v>
      </c>
      <c r="L128" s="64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 spans="1:28" ht="30" customHeight="1" x14ac:dyDescent="0.3">
      <c r="A129" s="32">
        <f t="shared" si="14"/>
        <v>9</v>
      </c>
      <c r="B129" s="32"/>
      <c r="C129" s="25" t="s">
        <v>349</v>
      </c>
      <c r="D129" s="28" t="s">
        <v>352</v>
      </c>
      <c r="E129" s="28" t="s">
        <v>353</v>
      </c>
      <c r="F129" s="32" t="str">
        <f t="shared" si="15"/>
        <v>Found as per as expectations</v>
      </c>
      <c r="G129" s="32" t="s">
        <v>333</v>
      </c>
      <c r="H129" s="28" t="s">
        <v>334</v>
      </c>
      <c r="I129" s="35"/>
      <c r="J129" s="40"/>
      <c r="K129" s="36" t="s">
        <v>23</v>
      </c>
      <c r="L129" s="64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 spans="1:28" ht="30" customHeight="1" x14ac:dyDescent="0.3">
      <c r="A130" s="32">
        <f t="shared" si="14"/>
        <v>10</v>
      </c>
      <c r="B130" s="32"/>
      <c r="C130" s="28" t="s">
        <v>354</v>
      </c>
      <c r="D130" s="28" t="s">
        <v>355</v>
      </c>
      <c r="E130" s="28" t="s">
        <v>356</v>
      </c>
      <c r="F130" s="32" t="str">
        <f t="shared" si="15"/>
        <v>Found not as per as exdpectations</v>
      </c>
      <c r="G130" s="32" t="s">
        <v>333</v>
      </c>
      <c r="H130" s="28" t="s">
        <v>334</v>
      </c>
      <c r="I130" s="65" t="s">
        <v>57</v>
      </c>
      <c r="J130" s="40"/>
      <c r="K130" s="36" t="s">
        <v>58</v>
      </c>
      <c r="L130" s="64" t="s">
        <v>357</v>
      </c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 spans="1:28" ht="30" customHeight="1" x14ac:dyDescent="0.3">
      <c r="A131" s="32">
        <f t="shared" si="14"/>
        <v>11</v>
      </c>
      <c r="B131" s="32"/>
      <c r="C131" s="28" t="s">
        <v>358</v>
      </c>
      <c r="D131" s="28" t="s">
        <v>359</v>
      </c>
      <c r="E131" s="28" t="s">
        <v>360</v>
      </c>
      <c r="F131" s="32" t="str">
        <f t="shared" si="15"/>
        <v>Found as per as expectations</v>
      </c>
      <c r="G131" s="32" t="s">
        <v>333</v>
      </c>
      <c r="H131" s="28" t="s">
        <v>334</v>
      </c>
      <c r="I131" s="65"/>
      <c r="J131" s="40"/>
      <c r="K131" s="36" t="s">
        <v>23</v>
      </c>
      <c r="L131" s="64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 spans="1:28" ht="30" customHeight="1" x14ac:dyDescent="0.3">
      <c r="A132" s="32">
        <f t="shared" si="14"/>
        <v>12</v>
      </c>
      <c r="B132" s="32"/>
      <c r="C132" s="28" t="s">
        <v>361</v>
      </c>
      <c r="D132" s="28" t="s">
        <v>362</v>
      </c>
      <c r="E132" s="28" t="s">
        <v>363</v>
      </c>
      <c r="F132" s="32" t="str">
        <f t="shared" si="15"/>
        <v>Found not as per as exdpectations</v>
      </c>
      <c r="G132" s="32" t="s">
        <v>333</v>
      </c>
      <c r="H132" s="28" t="s">
        <v>334</v>
      </c>
      <c r="I132" s="65" t="s">
        <v>57</v>
      </c>
      <c r="J132" s="40"/>
      <c r="K132" s="36" t="s">
        <v>58</v>
      </c>
      <c r="L132" s="28" t="s">
        <v>364</v>
      </c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 spans="1:28" ht="30" customHeight="1" x14ac:dyDescent="0.3">
      <c r="A133" s="32">
        <f t="shared" si="14"/>
        <v>13</v>
      </c>
      <c r="B133" s="32"/>
      <c r="C133" s="28" t="s">
        <v>210</v>
      </c>
      <c r="D133" s="28" t="s">
        <v>211</v>
      </c>
      <c r="E133" s="28" t="s">
        <v>212</v>
      </c>
      <c r="F133" s="32" t="str">
        <f t="shared" si="15"/>
        <v>Found as per as expectations</v>
      </c>
      <c r="G133" s="32" t="s">
        <v>333</v>
      </c>
      <c r="H133" s="28" t="s">
        <v>334</v>
      </c>
      <c r="I133" s="43"/>
      <c r="J133" s="41"/>
      <c r="K133" s="36" t="s">
        <v>23</v>
      </c>
      <c r="L133" s="66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 spans="1:28" ht="30" customHeight="1" x14ac:dyDescent="0.3">
      <c r="A134" s="32">
        <f t="shared" si="14"/>
        <v>14</v>
      </c>
      <c r="B134" s="53" t="s">
        <v>71</v>
      </c>
      <c r="C134" s="28" t="s">
        <v>365</v>
      </c>
      <c r="D134" s="28" t="s">
        <v>366</v>
      </c>
      <c r="E134" s="28" t="s">
        <v>367</v>
      </c>
      <c r="F134" s="32" t="str">
        <f t="shared" si="15"/>
        <v>Found not as per as exdpectations</v>
      </c>
      <c r="G134" s="32" t="s">
        <v>368</v>
      </c>
      <c r="H134" s="28" t="s">
        <v>334</v>
      </c>
      <c r="I134" s="65" t="s">
        <v>57</v>
      </c>
      <c r="J134" s="41"/>
      <c r="K134" s="36" t="s">
        <v>58</v>
      </c>
      <c r="L134" s="66" t="s">
        <v>369</v>
      </c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 spans="1:28" ht="30" customHeight="1" x14ac:dyDescent="0.3">
      <c r="A135" s="32">
        <f t="shared" si="14"/>
        <v>15</v>
      </c>
      <c r="B135" s="32"/>
      <c r="C135" s="28" t="s">
        <v>365</v>
      </c>
      <c r="D135" s="28" t="s">
        <v>370</v>
      </c>
      <c r="E135" s="28" t="s">
        <v>371</v>
      </c>
      <c r="F135" s="32" t="str">
        <f t="shared" si="15"/>
        <v>Found as per as expectations</v>
      </c>
      <c r="G135" s="32" t="s">
        <v>333</v>
      </c>
      <c r="H135" s="28" t="s">
        <v>334</v>
      </c>
      <c r="I135" s="24"/>
      <c r="J135" s="45"/>
      <c r="K135" s="36" t="s">
        <v>23</v>
      </c>
      <c r="L135" s="67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 spans="1:28" ht="30" customHeight="1" x14ac:dyDescent="0.3">
      <c r="A136" s="32">
        <f t="shared" si="14"/>
        <v>16</v>
      </c>
      <c r="B136" s="32"/>
      <c r="C136" s="28" t="s">
        <v>372</v>
      </c>
      <c r="D136" s="28" t="s">
        <v>373</v>
      </c>
      <c r="E136" s="28" t="s">
        <v>374</v>
      </c>
      <c r="F136" s="32" t="str">
        <f t="shared" si="15"/>
        <v>Found not as per as exdpectations</v>
      </c>
      <c r="G136" s="32" t="s">
        <v>375</v>
      </c>
      <c r="H136" s="28" t="s">
        <v>334</v>
      </c>
      <c r="I136" s="24" t="s">
        <v>57</v>
      </c>
      <c r="J136" s="45"/>
      <c r="K136" s="36" t="s">
        <v>58</v>
      </c>
      <c r="L136" s="36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 spans="1:28" ht="30" customHeight="1" x14ac:dyDescent="0.3">
      <c r="A137" s="32">
        <f t="shared" si="14"/>
        <v>17</v>
      </c>
      <c r="B137" s="83"/>
      <c r="C137" s="25" t="s">
        <v>349</v>
      </c>
      <c r="D137" s="28" t="s">
        <v>376</v>
      </c>
      <c r="E137" s="28" t="s">
        <v>377</v>
      </c>
      <c r="F137" s="32" t="str">
        <f t="shared" si="15"/>
        <v>Found not as per as exdpectations</v>
      </c>
      <c r="G137" s="32" t="s">
        <v>333</v>
      </c>
      <c r="H137" s="28" t="s">
        <v>334</v>
      </c>
      <c r="I137" s="49" t="s">
        <v>57</v>
      </c>
      <c r="J137" s="50"/>
      <c r="K137" s="36" t="s">
        <v>58</v>
      </c>
      <c r="L137" s="67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 spans="1:28" ht="30" customHeight="1" x14ac:dyDescent="0.3">
      <c r="A138" s="32">
        <f t="shared" si="14"/>
        <v>18</v>
      </c>
      <c r="B138" s="32"/>
      <c r="C138" s="28" t="s">
        <v>378</v>
      </c>
      <c r="D138" s="28" t="s">
        <v>379</v>
      </c>
      <c r="E138" s="28" t="s">
        <v>380</v>
      </c>
      <c r="F138" s="32" t="str">
        <f t="shared" si="15"/>
        <v>Found as per as expectations</v>
      </c>
      <c r="G138" s="32" t="s">
        <v>333</v>
      </c>
      <c r="H138" s="28" t="s">
        <v>334</v>
      </c>
      <c r="I138" s="44"/>
      <c r="J138" s="45"/>
      <c r="K138" s="46" t="s">
        <v>23</v>
      </c>
      <c r="L138" s="36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 spans="1:28" ht="30" customHeight="1" x14ac:dyDescent="0.3">
      <c r="A139" s="32">
        <f t="shared" si="14"/>
        <v>19</v>
      </c>
      <c r="B139" s="28"/>
      <c r="C139" s="28" t="s">
        <v>381</v>
      </c>
      <c r="D139" s="28" t="s">
        <v>382</v>
      </c>
      <c r="E139" s="28" t="s">
        <v>383</v>
      </c>
      <c r="F139" s="32" t="str">
        <f t="shared" si="15"/>
        <v>Found as per as expectations</v>
      </c>
      <c r="G139" s="32" t="s">
        <v>333</v>
      </c>
      <c r="H139" s="28" t="s">
        <v>384</v>
      </c>
      <c r="I139" s="54"/>
      <c r="J139" s="41"/>
      <c r="K139" s="36" t="s">
        <v>23</v>
      </c>
      <c r="L139" s="66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 spans="1:28" ht="30" customHeight="1" x14ac:dyDescent="0.3">
      <c r="A140" s="32">
        <f t="shared" si="14"/>
        <v>20</v>
      </c>
      <c r="B140" s="28"/>
      <c r="C140" s="28" t="s">
        <v>385</v>
      </c>
      <c r="D140" s="28" t="s">
        <v>386</v>
      </c>
      <c r="E140" s="28" t="s">
        <v>387</v>
      </c>
      <c r="F140" s="32" t="str">
        <f t="shared" si="15"/>
        <v>Found as per as expectations</v>
      </c>
      <c r="G140" s="32" t="s">
        <v>333</v>
      </c>
      <c r="H140" s="28" t="s">
        <v>388</v>
      </c>
      <c r="I140" s="54"/>
      <c r="J140" s="41"/>
      <c r="K140" s="36" t="s">
        <v>23</v>
      </c>
      <c r="L140" s="66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 spans="1:28" ht="30" customHeight="1" x14ac:dyDescent="0.3">
      <c r="A141" s="32">
        <f t="shared" si="14"/>
        <v>21</v>
      </c>
      <c r="B141" s="28"/>
      <c r="C141" s="28" t="s">
        <v>389</v>
      </c>
      <c r="D141" s="28" t="s">
        <v>390</v>
      </c>
      <c r="E141" s="28" t="s">
        <v>391</v>
      </c>
      <c r="F141" s="32" t="str">
        <f t="shared" si="15"/>
        <v>Found as per as expectations</v>
      </c>
      <c r="G141" s="32" t="s">
        <v>333</v>
      </c>
      <c r="H141" s="28" t="s">
        <v>388</v>
      </c>
      <c r="I141" s="54"/>
      <c r="J141" s="41"/>
      <c r="K141" s="36" t="s">
        <v>23</v>
      </c>
      <c r="L141" s="66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 spans="1:28" ht="30" customHeight="1" x14ac:dyDescent="0.3">
      <c r="A142" s="32">
        <f t="shared" si="14"/>
        <v>22</v>
      </c>
      <c r="B142" s="28"/>
      <c r="C142" s="28" t="s">
        <v>392</v>
      </c>
      <c r="D142" s="28" t="s">
        <v>393</v>
      </c>
      <c r="E142" s="28" t="s">
        <v>394</v>
      </c>
      <c r="F142" s="32" t="str">
        <f t="shared" si="15"/>
        <v>Found as per as expectations</v>
      </c>
      <c r="G142" s="32" t="s">
        <v>333</v>
      </c>
      <c r="H142" s="28" t="s">
        <v>395</v>
      </c>
      <c r="I142" s="54"/>
      <c r="J142" s="41"/>
      <c r="K142" s="36" t="s">
        <v>23</v>
      </c>
      <c r="L142" s="66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 spans="1:28" ht="30" customHeight="1" x14ac:dyDescent="0.3">
      <c r="A143" s="32">
        <f t="shared" si="14"/>
        <v>23</v>
      </c>
      <c r="B143" s="56" t="s">
        <v>248</v>
      </c>
      <c r="C143" s="28" t="s">
        <v>305</v>
      </c>
      <c r="D143" s="28" t="s">
        <v>396</v>
      </c>
      <c r="E143" s="28" t="s">
        <v>307</v>
      </c>
      <c r="F143" s="32" t="str">
        <f t="shared" si="15"/>
        <v>Found as per as expectations</v>
      </c>
      <c r="G143" s="28" t="s">
        <v>308</v>
      </c>
      <c r="H143" s="28" t="s">
        <v>334</v>
      </c>
      <c r="I143" s="44"/>
      <c r="J143" s="45"/>
      <c r="K143" s="46" t="s">
        <v>23</v>
      </c>
      <c r="L143" s="36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 spans="1:28" ht="30" customHeight="1" x14ac:dyDescent="0.3">
      <c r="A144" s="68" t="s">
        <v>397</v>
      </c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69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 spans="1:28" ht="30" customHeight="1" x14ac:dyDescent="0.3">
      <c r="A145" s="32">
        <f t="shared" ref="A145:A166" si="16">ROW()-144</f>
        <v>1</v>
      </c>
      <c r="B145" s="33" t="s">
        <v>17</v>
      </c>
      <c r="C145" s="25" t="s">
        <v>200</v>
      </c>
      <c r="D145" s="25" t="s">
        <v>201</v>
      </c>
      <c r="E145" s="25" t="s">
        <v>202</v>
      </c>
      <c r="F145" s="32" t="str">
        <f t="shared" ref="F145:F166" si="17">IF(K145="Passed","Found as per as expectations","Found not as per as exdpectations")</f>
        <v>Found as per as expectations</v>
      </c>
      <c r="G145" s="32" t="s">
        <v>21</v>
      </c>
      <c r="H145" s="32" t="s">
        <v>398</v>
      </c>
      <c r="I145" s="35"/>
      <c r="J145" s="33"/>
      <c r="K145" s="36" t="s">
        <v>23</v>
      </c>
      <c r="L145" s="33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 spans="1:28" ht="30" customHeight="1" x14ac:dyDescent="0.3">
      <c r="A146" s="32">
        <f t="shared" si="16"/>
        <v>2</v>
      </c>
      <c r="B146" s="32"/>
      <c r="C146" s="25" t="s">
        <v>399</v>
      </c>
      <c r="D146" s="25" t="s">
        <v>205</v>
      </c>
      <c r="E146" s="25" t="s">
        <v>206</v>
      </c>
      <c r="F146" s="32" t="str">
        <f t="shared" si="17"/>
        <v>Found as per as expectations</v>
      </c>
      <c r="G146" s="32" t="s">
        <v>21</v>
      </c>
      <c r="H146" s="32" t="s">
        <v>398</v>
      </c>
      <c r="I146" s="38"/>
      <c r="J146" s="39"/>
      <c r="K146" s="36" t="s">
        <v>23</v>
      </c>
      <c r="L146" s="40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 spans="1:28" ht="30" customHeight="1" x14ac:dyDescent="0.3">
      <c r="A147" s="32">
        <f t="shared" si="16"/>
        <v>3</v>
      </c>
      <c r="B147" s="32"/>
      <c r="C147" s="25" t="s">
        <v>207</v>
      </c>
      <c r="D147" s="25" t="s">
        <v>208</v>
      </c>
      <c r="E147" s="25" t="s">
        <v>209</v>
      </c>
      <c r="F147" s="32" t="str">
        <f t="shared" si="17"/>
        <v>Found as per as expectations</v>
      </c>
      <c r="G147" s="32" t="s">
        <v>252</v>
      </c>
      <c r="H147" s="32" t="s">
        <v>400</v>
      </c>
      <c r="I147" s="35"/>
      <c r="J147" s="40"/>
      <c r="K147" s="36" t="s">
        <v>23</v>
      </c>
      <c r="L147" s="40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 spans="1:28" ht="30" customHeight="1" x14ac:dyDescent="0.3">
      <c r="A148" s="32">
        <f t="shared" si="16"/>
        <v>4</v>
      </c>
      <c r="B148" s="32"/>
      <c r="C148" s="25" t="s">
        <v>401</v>
      </c>
      <c r="D148" s="25" t="s">
        <v>402</v>
      </c>
      <c r="E148" s="25" t="s">
        <v>403</v>
      </c>
      <c r="F148" s="32" t="str">
        <f t="shared" si="17"/>
        <v>Found as per as expectations</v>
      </c>
      <c r="G148" s="32" t="s">
        <v>21</v>
      </c>
      <c r="H148" s="32" t="s">
        <v>398</v>
      </c>
      <c r="I148" s="35"/>
      <c r="J148" s="40"/>
      <c r="K148" s="36" t="s">
        <v>23</v>
      </c>
      <c r="L148" s="40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 spans="1:28" ht="30" customHeight="1" x14ac:dyDescent="0.3">
      <c r="A149" s="32">
        <f t="shared" si="16"/>
        <v>5</v>
      </c>
      <c r="B149" s="32"/>
      <c r="C149" s="25" t="s">
        <v>210</v>
      </c>
      <c r="D149" s="25" t="s">
        <v>211</v>
      </c>
      <c r="E149" s="25" t="s">
        <v>212</v>
      </c>
      <c r="F149" s="32" t="str">
        <f t="shared" si="17"/>
        <v>Found as per as expectations</v>
      </c>
      <c r="G149" s="32" t="s">
        <v>21</v>
      </c>
      <c r="H149" s="32" t="s">
        <v>398</v>
      </c>
      <c r="I149" s="43"/>
      <c r="J149" s="41"/>
      <c r="K149" s="36" t="s">
        <v>23</v>
      </c>
      <c r="L149" s="41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 spans="1:28" ht="30" customHeight="1" x14ac:dyDescent="0.3">
      <c r="A150" s="32">
        <f t="shared" si="16"/>
        <v>6</v>
      </c>
      <c r="B150" s="53" t="s">
        <v>71</v>
      </c>
      <c r="C150" s="25" t="s">
        <v>404</v>
      </c>
      <c r="D150" s="25" t="s">
        <v>405</v>
      </c>
      <c r="E150" s="25" t="s">
        <v>406</v>
      </c>
      <c r="F150" s="32" t="str">
        <f t="shared" si="17"/>
        <v>Found not as per as exdpectations</v>
      </c>
      <c r="G150" s="25" t="s">
        <v>407</v>
      </c>
      <c r="H150" s="32" t="s">
        <v>408</v>
      </c>
      <c r="I150" s="65" t="s">
        <v>57</v>
      </c>
      <c r="J150" s="41"/>
      <c r="K150" s="36" t="s">
        <v>58</v>
      </c>
      <c r="L150" s="41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 spans="1:28" ht="30" customHeight="1" x14ac:dyDescent="0.3">
      <c r="A151" s="32">
        <f t="shared" si="16"/>
        <v>7</v>
      </c>
      <c r="B151" s="32"/>
      <c r="C151" s="25" t="s">
        <v>404</v>
      </c>
      <c r="D151" s="25" t="s">
        <v>409</v>
      </c>
      <c r="E151" s="25" t="s">
        <v>410</v>
      </c>
      <c r="F151" s="32" t="str">
        <f t="shared" si="17"/>
        <v>Found not as per as exdpectations</v>
      </c>
      <c r="G151" s="25" t="s">
        <v>411</v>
      </c>
      <c r="H151" s="32" t="s">
        <v>412</v>
      </c>
      <c r="I151" s="65" t="s">
        <v>57</v>
      </c>
      <c r="J151" s="41"/>
      <c r="K151" s="36" t="s">
        <v>58</v>
      </c>
      <c r="L151" s="41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 spans="1:28" ht="30" customHeight="1" x14ac:dyDescent="0.3">
      <c r="A152" s="32">
        <f t="shared" si="16"/>
        <v>8</v>
      </c>
      <c r="B152" s="32"/>
      <c r="C152" s="25" t="s">
        <v>413</v>
      </c>
      <c r="D152" s="25" t="s">
        <v>414</v>
      </c>
      <c r="E152" s="25" t="s">
        <v>415</v>
      </c>
      <c r="F152" s="32" t="str">
        <f t="shared" si="17"/>
        <v>Found not as per as exdpectations</v>
      </c>
      <c r="G152" s="25" t="s">
        <v>416</v>
      </c>
      <c r="H152" s="32" t="s">
        <v>412</v>
      </c>
      <c r="I152" s="70" t="s">
        <v>57</v>
      </c>
      <c r="J152" s="41"/>
      <c r="K152" s="36" t="s">
        <v>58</v>
      </c>
      <c r="L152" s="41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 spans="1:28" ht="30" customHeight="1" x14ac:dyDescent="0.3">
      <c r="A153" s="32">
        <f t="shared" si="16"/>
        <v>9</v>
      </c>
      <c r="B153" s="32"/>
      <c r="C153" s="25" t="s">
        <v>216</v>
      </c>
      <c r="D153" s="25" t="s">
        <v>222</v>
      </c>
      <c r="E153" s="25" t="s">
        <v>223</v>
      </c>
      <c r="F153" s="32" t="str">
        <f t="shared" si="17"/>
        <v>Found not as per as exdpectations</v>
      </c>
      <c r="G153" s="32" t="s">
        <v>224</v>
      </c>
      <c r="H153" s="32" t="s">
        <v>417</v>
      </c>
      <c r="I153" s="70" t="s">
        <v>57</v>
      </c>
      <c r="J153" s="41"/>
      <c r="K153" s="36" t="s">
        <v>58</v>
      </c>
      <c r="L153" s="41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 spans="1:28" ht="30" customHeight="1" x14ac:dyDescent="0.3">
      <c r="A154" s="32">
        <f t="shared" si="16"/>
        <v>10</v>
      </c>
      <c r="B154" s="32"/>
      <c r="C154" s="25" t="s">
        <v>418</v>
      </c>
      <c r="D154" s="25" t="s">
        <v>419</v>
      </c>
      <c r="E154" s="25" t="s">
        <v>420</v>
      </c>
      <c r="F154" s="32" t="str">
        <f t="shared" si="17"/>
        <v>Found not as per as exdpectations</v>
      </c>
      <c r="G154" s="25" t="s">
        <v>421</v>
      </c>
      <c r="H154" s="32" t="s">
        <v>417</v>
      </c>
      <c r="I154" s="24" t="s">
        <v>57</v>
      </c>
      <c r="J154" s="45"/>
      <c r="K154" s="46" t="s">
        <v>58</v>
      </c>
      <c r="L154" s="25" t="s">
        <v>230</v>
      </c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 spans="1:28" ht="30" customHeight="1" x14ac:dyDescent="0.3">
      <c r="A155" s="32">
        <f t="shared" si="16"/>
        <v>11</v>
      </c>
      <c r="B155" s="32"/>
      <c r="C155" s="25" t="s">
        <v>418</v>
      </c>
      <c r="D155" s="25" t="s">
        <v>422</v>
      </c>
      <c r="E155" s="25" t="s">
        <v>423</v>
      </c>
      <c r="F155" s="32" t="str">
        <f t="shared" si="17"/>
        <v>Found not as per as exdpectations</v>
      </c>
      <c r="G155" s="32" t="s">
        <v>424</v>
      </c>
      <c r="H155" s="32" t="s">
        <v>417</v>
      </c>
      <c r="I155" s="24" t="s">
        <v>57</v>
      </c>
      <c r="J155" s="45"/>
      <c r="K155" s="46" t="s">
        <v>58</v>
      </c>
      <c r="L155" s="36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 spans="1:28" ht="30" customHeight="1" x14ac:dyDescent="0.3">
      <c r="A156" s="32">
        <f t="shared" si="16"/>
        <v>12</v>
      </c>
      <c r="B156" s="83"/>
      <c r="C156" s="25" t="s">
        <v>425</v>
      </c>
      <c r="D156" s="25" t="s">
        <v>426</v>
      </c>
      <c r="E156" s="25" t="s">
        <v>427</v>
      </c>
      <c r="F156" s="32" t="str">
        <f t="shared" si="17"/>
        <v>Found not as per as exdpectations</v>
      </c>
      <c r="G156" s="32" t="s">
        <v>428</v>
      </c>
      <c r="H156" s="32" t="s">
        <v>417</v>
      </c>
      <c r="I156" s="49" t="s">
        <v>57</v>
      </c>
      <c r="J156" s="50"/>
      <c r="K156" s="46" t="s">
        <v>58</v>
      </c>
      <c r="L156" s="25" t="s">
        <v>230</v>
      </c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 spans="1:28" ht="30" customHeight="1" x14ac:dyDescent="0.3">
      <c r="A157" s="32">
        <f t="shared" si="16"/>
        <v>13</v>
      </c>
      <c r="B157" s="32"/>
      <c r="C157" s="25" t="s">
        <v>429</v>
      </c>
      <c r="D157" s="25" t="s">
        <v>430</v>
      </c>
      <c r="E157" s="25" t="s">
        <v>431</v>
      </c>
      <c r="F157" s="32" t="str">
        <f t="shared" si="17"/>
        <v>Found as per as expectations</v>
      </c>
      <c r="G157" s="25" t="s">
        <v>21</v>
      </c>
      <c r="H157" s="32" t="s">
        <v>398</v>
      </c>
      <c r="I157" s="44"/>
      <c r="J157" s="45"/>
      <c r="K157" s="46" t="s">
        <v>23</v>
      </c>
      <c r="L157" s="36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 spans="1:28" ht="30" customHeight="1" x14ac:dyDescent="0.3">
      <c r="A158" s="32">
        <f t="shared" si="16"/>
        <v>14</v>
      </c>
      <c r="B158" s="32"/>
      <c r="C158" s="25" t="s">
        <v>432</v>
      </c>
      <c r="D158" s="25" t="s">
        <v>433</v>
      </c>
      <c r="E158" s="25" t="s">
        <v>434</v>
      </c>
      <c r="F158" s="32" t="str">
        <f t="shared" si="17"/>
        <v>Found as per as expectations</v>
      </c>
      <c r="G158" s="25" t="s">
        <v>21</v>
      </c>
      <c r="H158" s="32" t="s">
        <v>398</v>
      </c>
      <c r="I158" s="44"/>
      <c r="J158" s="45"/>
      <c r="K158" s="46" t="s">
        <v>23</v>
      </c>
      <c r="L158" s="36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 spans="1:28" ht="30" customHeight="1" x14ac:dyDescent="0.3">
      <c r="A159" s="32">
        <f t="shared" si="16"/>
        <v>15</v>
      </c>
      <c r="B159" s="32"/>
      <c r="C159" s="25" t="s">
        <v>435</v>
      </c>
      <c r="D159" s="25" t="s">
        <v>436</v>
      </c>
      <c r="E159" s="25" t="s">
        <v>437</v>
      </c>
      <c r="F159" s="32" t="str">
        <f t="shared" si="17"/>
        <v>Found as per as expectations</v>
      </c>
      <c r="G159" s="25" t="s">
        <v>21</v>
      </c>
      <c r="H159" s="32" t="s">
        <v>398</v>
      </c>
      <c r="I159" s="44"/>
      <c r="J159" s="45"/>
      <c r="K159" s="46" t="s">
        <v>23</v>
      </c>
      <c r="L159" s="36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 spans="1:28" ht="30" customHeight="1" x14ac:dyDescent="0.3">
      <c r="A160" s="32">
        <f t="shared" si="16"/>
        <v>16</v>
      </c>
      <c r="B160" s="32"/>
      <c r="C160" s="25" t="s">
        <v>365</v>
      </c>
      <c r="D160" s="25" t="s">
        <v>438</v>
      </c>
      <c r="E160" s="25" t="s">
        <v>439</v>
      </c>
      <c r="F160" s="32" t="str">
        <f t="shared" si="17"/>
        <v>Found not as per as exdpectations</v>
      </c>
      <c r="G160" s="25" t="s">
        <v>21</v>
      </c>
      <c r="H160" s="32" t="s">
        <v>398</v>
      </c>
      <c r="I160" s="24" t="s">
        <v>57</v>
      </c>
      <c r="J160" s="45"/>
      <c r="K160" s="46" t="s">
        <v>58</v>
      </c>
      <c r="L160" s="36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 spans="1:28" ht="30" customHeight="1" x14ac:dyDescent="0.3">
      <c r="A161" s="32">
        <f t="shared" si="16"/>
        <v>17</v>
      </c>
      <c r="B161" s="32"/>
      <c r="C161" s="25" t="s">
        <v>432</v>
      </c>
      <c r="D161" s="25" t="s">
        <v>440</v>
      </c>
      <c r="E161" s="25" t="s">
        <v>441</v>
      </c>
      <c r="F161" s="32" t="str">
        <f t="shared" si="17"/>
        <v>Found as per as expectations</v>
      </c>
      <c r="G161" s="25" t="s">
        <v>21</v>
      </c>
      <c r="H161" s="32" t="s">
        <v>398</v>
      </c>
      <c r="I161" s="44"/>
      <c r="J161" s="45"/>
      <c r="K161" s="46" t="s">
        <v>23</v>
      </c>
      <c r="L161" s="36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 spans="1:28" ht="30" customHeight="1" x14ac:dyDescent="0.3">
      <c r="A162" s="32">
        <f t="shared" si="16"/>
        <v>18</v>
      </c>
      <c r="B162" s="32"/>
      <c r="C162" s="25" t="s">
        <v>442</v>
      </c>
      <c r="D162" s="25" t="s">
        <v>443</v>
      </c>
      <c r="E162" s="25" t="s">
        <v>444</v>
      </c>
      <c r="F162" s="32" t="str">
        <f t="shared" si="17"/>
        <v>Found as per as expectations</v>
      </c>
      <c r="G162" s="25" t="s">
        <v>21</v>
      </c>
      <c r="H162" s="32" t="s">
        <v>398</v>
      </c>
      <c r="I162" s="44"/>
      <c r="J162" s="45"/>
      <c r="K162" s="46" t="s">
        <v>23</v>
      </c>
      <c r="L162" s="36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 spans="1:28" ht="30" customHeight="1" x14ac:dyDescent="0.3">
      <c r="A163" s="32">
        <f t="shared" si="16"/>
        <v>19</v>
      </c>
      <c r="B163" s="25"/>
      <c r="C163" s="25" t="s">
        <v>243</v>
      </c>
      <c r="D163" s="25" t="s">
        <v>244</v>
      </c>
      <c r="E163" s="25" t="s">
        <v>245</v>
      </c>
      <c r="F163" s="32" t="str">
        <f t="shared" si="17"/>
        <v>Found as per as expectations</v>
      </c>
      <c r="G163" s="25" t="s">
        <v>21</v>
      </c>
      <c r="H163" s="32" t="s">
        <v>398</v>
      </c>
      <c r="I163" s="54"/>
      <c r="J163" s="41"/>
      <c r="K163" s="36" t="s">
        <v>23</v>
      </c>
      <c r="L163" s="41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 spans="1:28" ht="30" customHeight="1" x14ac:dyDescent="0.3">
      <c r="A164" s="32">
        <f t="shared" si="16"/>
        <v>20</v>
      </c>
      <c r="B164" s="53" t="s">
        <v>248</v>
      </c>
      <c r="C164" s="25" t="s">
        <v>249</v>
      </c>
      <c r="D164" s="25" t="s">
        <v>250</v>
      </c>
      <c r="E164" s="25" t="s">
        <v>251</v>
      </c>
      <c r="F164" s="32" t="str">
        <f t="shared" si="17"/>
        <v>Found as per as expectations</v>
      </c>
      <c r="G164" s="25" t="s">
        <v>21</v>
      </c>
      <c r="H164" s="32" t="s">
        <v>398</v>
      </c>
      <c r="I164" s="44"/>
      <c r="J164" s="45"/>
      <c r="K164" s="46" t="s">
        <v>23</v>
      </c>
      <c r="L164" s="36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 spans="1:28" ht="30" customHeight="1" x14ac:dyDescent="0.3">
      <c r="A165" s="32">
        <f t="shared" si="16"/>
        <v>21</v>
      </c>
      <c r="B165" s="25"/>
      <c r="C165" s="25" t="s">
        <v>445</v>
      </c>
      <c r="D165" s="25" t="s">
        <v>446</v>
      </c>
      <c r="E165" s="25" t="s">
        <v>447</v>
      </c>
      <c r="F165" s="25" t="str">
        <f t="shared" si="17"/>
        <v>Found not as per as exdpectations</v>
      </c>
      <c r="G165" s="25" t="s">
        <v>21</v>
      </c>
      <c r="H165" s="32" t="s">
        <v>398</v>
      </c>
      <c r="I165" s="24" t="s">
        <v>57</v>
      </c>
      <c r="J165" s="25"/>
      <c r="K165" s="46" t="s">
        <v>58</v>
      </c>
      <c r="L165" s="25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 spans="1:28" ht="30" customHeight="1" x14ac:dyDescent="0.3">
      <c r="A166" s="32">
        <f t="shared" si="16"/>
        <v>22</v>
      </c>
      <c r="B166" s="53" t="s">
        <v>151</v>
      </c>
      <c r="C166" s="25" t="s">
        <v>254</v>
      </c>
      <c r="D166" s="25" t="s">
        <v>255</v>
      </c>
      <c r="E166" s="25" t="s">
        <v>256</v>
      </c>
      <c r="F166" s="32" t="str">
        <f t="shared" si="17"/>
        <v>Found as per as expectations</v>
      </c>
      <c r="G166" s="25" t="s">
        <v>21</v>
      </c>
      <c r="H166" s="32" t="s">
        <v>398</v>
      </c>
      <c r="I166" s="44"/>
      <c r="J166" s="45"/>
      <c r="K166" s="46" t="s">
        <v>23</v>
      </c>
      <c r="L166" s="36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 spans="1:28" ht="30" customHeight="1" x14ac:dyDescent="0.3">
      <c r="A167" s="60" t="s">
        <v>448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7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r="168" spans="1:28" ht="30" customHeight="1" x14ac:dyDescent="0.3">
      <c r="A168" s="32">
        <f t="shared" ref="A168:A200" si="18">ROW()-167</f>
        <v>1</v>
      </c>
      <c r="B168" s="33" t="s">
        <v>17</v>
      </c>
      <c r="C168" s="28" t="s">
        <v>449</v>
      </c>
      <c r="D168" s="28" t="s">
        <v>450</v>
      </c>
      <c r="E168" s="28" t="s">
        <v>451</v>
      </c>
      <c r="F168" s="28" t="s">
        <v>451</v>
      </c>
      <c r="G168" s="32" t="s">
        <v>21</v>
      </c>
      <c r="H168" s="32" t="s">
        <v>452</v>
      </c>
      <c r="I168" s="35"/>
      <c r="J168" s="33"/>
      <c r="K168" s="36" t="s">
        <v>23</v>
      </c>
      <c r="L168" s="33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</row>
    <row r="169" spans="1:28" ht="30" customHeight="1" x14ac:dyDescent="0.3">
      <c r="A169" s="32">
        <f t="shared" si="18"/>
        <v>2</v>
      </c>
      <c r="B169" s="32"/>
      <c r="C169" s="28" t="s">
        <v>449</v>
      </c>
      <c r="D169" s="28" t="s">
        <v>453</v>
      </c>
      <c r="E169" s="28" t="s">
        <v>454</v>
      </c>
      <c r="F169" s="28" t="s">
        <v>454</v>
      </c>
      <c r="G169" s="32" t="s">
        <v>21</v>
      </c>
      <c r="H169" s="32" t="s">
        <v>452</v>
      </c>
      <c r="I169" s="38"/>
      <c r="J169" s="39"/>
      <c r="K169" s="36" t="s">
        <v>23</v>
      </c>
      <c r="L169" s="40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</row>
    <row r="170" spans="1:28" ht="30" customHeight="1" x14ac:dyDescent="0.3">
      <c r="A170" s="32">
        <f t="shared" si="18"/>
        <v>3</v>
      </c>
      <c r="B170" s="32"/>
      <c r="C170" s="28" t="s">
        <v>455</v>
      </c>
      <c r="D170" s="28" t="s">
        <v>456</v>
      </c>
      <c r="E170" s="28" t="s">
        <v>457</v>
      </c>
      <c r="F170" s="28" t="s">
        <v>457</v>
      </c>
      <c r="G170" s="32" t="s">
        <v>21</v>
      </c>
      <c r="H170" s="32" t="s">
        <v>452</v>
      </c>
      <c r="I170" s="35"/>
      <c r="J170" s="40"/>
      <c r="K170" s="36" t="s">
        <v>23</v>
      </c>
      <c r="L170" s="40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 spans="1:28" ht="30" customHeight="1" x14ac:dyDescent="0.3">
      <c r="A171" s="32">
        <f t="shared" si="18"/>
        <v>4</v>
      </c>
      <c r="B171" s="32"/>
      <c r="C171" s="28" t="s">
        <v>458</v>
      </c>
      <c r="D171" s="28" t="s">
        <v>459</v>
      </c>
      <c r="E171" s="28" t="s">
        <v>460</v>
      </c>
      <c r="F171" s="28" t="s">
        <v>460</v>
      </c>
      <c r="G171" s="32" t="s">
        <v>21</v>
      </c>
      <c r="H171" s="32" t="s">
        <v>452</v>
      </c>
      <c r="I171" s="43"/>
      <c r="J171" s="41"/>
      <c r="K171" s="36" t="s">
        <v>23</v>
      </c>
      <c r="L171" s="41"/>
      <c r="M171" s="41"/>
      <c r="N171" s="41"/>
      <c r="O171" s="41"/>
      <c r="P171" s="41"/>
      <c r="Q171" s="41"/>
      <c r="R171" s="41"/>
      <c r="S171" s="41"/>
      <c r="T171" s="42"/>
      <c r="U171" s="42"/>
      <c r="V171" s="42"/>
      <c r="W171" s="42"/>
      <c r="X171" s="42"/>
      <c r="Y171" s="42"/>
      <c r="Z171" s="42"/>
      <c r="AA171" s="42"/>
      <c r="AB171" s="42"/>
    </row>
    <row r="172" spans="1:28" ht="30" customHeight="1" x14ac:dyDescent="0.3">
      <c r="A172" s="32">
        <f t="shared" si="18"/>
        <v>5</v>
      </c>
      <c r="B172" s="32"/>
      <c r="C172" s="28"/>
      <c r="D172" s="28" t="s">
        <v>461</v>
      </c>
      <c r="E172" s="28" t="s">
        <v>462</v>
      </c>
      <c r="F172" s="28" t="s">
        <v>462</v>
      </c>
      <c r="G172" s="32" t="s">
        <v>21</v>
      </c>
      <c r="H172" s="32" t="s">
        <v>452</v>
      </c>
      <c r="I172" s="43"/>
      <c r="J172" s="41"/>
      <c r="K172" s="36" t="s">
        <v>23</v>
      </c>
      <c r="L172" s="41"/>
      <c r="M172" s="41"/>
      <c r="N172" s="41"/>
      <c r="O172" s="41"/>
      <c r="P172" s="41"/>
      <c r="Q172" s="41"/>
      <c r="R172" s="41"/>
      <c r="S172" s="41"/>
      <c r="T172" s="42"/>
      <c r="U172" s="42"/>
      <c r="V172" s="42"/>
      <c r="W172" s="42"/>
      <c r="X172" s="42"/>
      <c r="Y172" s="42"/>
      <c r="Z172" s="42"/>
      <c r="AA172" s="42"/>
      <c r="AB172" s="42"/>
    </row>
    <row r="173" spans="1:28" ht="30" customHeight="1" x14ac:dyDescent="0.3">
      <c r="A173" s="32">
        <f t="shared" si="18"/>
        <v>6</v>
      </c>
      <c r="B173" s="32"/>
      <c r="C173" s="28"/>
      <c r="D173" s="28" t="s">
        <v>463</v>
      </c>
      <c r="E173" s="28" t="s">
        <v>464</v>
      </c>
      <c r="F173" s="28" t="s">
        <v>464</v>
      </c>
      <c r="G173" s="32" t="s">
        <v>21</v>
      </c>
      <c r="H173" s="32" t="s">
        <v>452</v>
      </c>
      <c r="I173" s="43"/>
      <c r="J173" s="41"/>
      <c r="K173" s="36" t="s">
        <v>23</v>
      </c>
      <c r="L173" s="41"/>
      <c r="M173" s="41"/>
      <c r="N173" s="41"/>
      <c r="O173" s="41"/>
      <c r="P173" s="41"/>
      <c r="Q173" s="41"/>
      <c r="R173" s="41"/>
      <c r="S173" s="41"/>
      <c r="T173" s="42"/>
      <c r="U173" s="42"/>
      <c r="V173" s="42"/>
      <c r="W173" s="42"/>
      <c r="X173" s="42"/>
      <c r="Y173" s="42"/>
      <c r="Z173" s="42"/>
      <c r="AA173" s="42"/>
      <c r="AB173" s="42"/>
    </row>
    <row r="174" spans="1:28" ht="30" customHeight="1" x14ac:dyDescent="0.3">
      <c r="A174" s="32">
        <f t="shared" si="18"/>
        <v>7</v>
      </c>
      <c r="B174" s="32"/>
      <c r="C174" s="28"/>
      <c r="D174" s="28" t="s">
        <v>465</v>
      </c>
      <c r="E174" s="28" t="s">
        <v>466</v>
      </c>
      <c r="F174" s="28" t="s">
        <v>466</v>
      </c>
      <c r="G174" s="32" t="s">
        <v>21</v>
      </c>
      <c r="H174" s="32" t="s">
        <v>452</v>
      </c>
      <c r="I174" s="43"/>
      <c r="J174" s="41"/>
      <c r="K174" s="36" t="s">
        <v>23</v>
      </c>
      <c r="L174" s="41"/>
      <c r="M174" s="41"/>
      <c r="N174" s="41"/>
      <c r="O174" s="41"/>
      <c r="P174" s="41"/>
      <c r="Q174" s="41"/>
      <c r="R174" s="41"/>
      <c r="S174" s="41"/>
      <c r="T174" s="42"/>
      <c r="U174" s="42"/>
      <c r="V174" s="42"/>
      <c r="W174" s="42"/>
      <c r="X174" s="42"/>
      <c r="Y174" s="42"/>
      <c r="Z174" s="42"/>
      <c r="AA174" s="42"/>
      <c r="AB174" s="42"/>
    </row>
    <row r="175" spans="1:28" ht="30" customHeight="1" x14ac:dyDescent="0.3">
      <c r="A175" s="32">
        <f t="shared" si="18"/>
        <v>8</v>
      </c>
      <c r="B175" s="32"/>
      <c r="C175" s="28" t="s">
        <v>467</v>
      </c>
      <c r="D175" s="28" t="s">
        <v>468</v>
      </c>
      <c r="E175" s="28" t="s">
        <v>469</v>
      </c>
      <c r="F175" s="28" t="s">
        <v>469</v>
      </c>
      <c r="G175" s="32" t="s">
        <v>21</v>
      </c>
      <c r="H175" s="32" t="s">
        <v>452</v>
      </c>
      <c r="I175" s="43"/>
      <c r="J175" s="41"/>
      <c r="K175" s="36" t="s">
        <v>23</v>
      </c>
      <c r="L175" s="41"/>
      <c r="M175" s="41"/>
      <c r="N175" s="41"/>
      <c r="O175" s="41"/>
      <c r="P175" s="41"/>
      <c r="Q175" s="41"/>
      <c r="R175" s="41"/>
      <c r="S175" s="41"/>
      <c r="T175" s="42"/>
      <c r="U175" s="42"/>
      <c r="V175" s="42"/>
      <c r="W175" s="42"/>
      <c r="X175" s="42"/>
      <c r="Y175" s="42"/>
      <c r="Z175" s="42"/>
      <c r="AA175" s="42"/>
      <c r="AB175" s="42"/>
    </row>
    <row r="176" spans="1:28" ht="30" customHeight="1" x14ac:dyDescent="0.3">
      <c r="A176" s="32">
        <f t="shared" si="18"/>
        <v>9</v>
      </c>
      <c r="B176" s="32"/>
      <c r="C176" s="28" t="s">
        <v>470</v>
      </c>
      <c r="D176" s="28" t="s">
        <v>471</v>
      </c>
      <c r="E176" s="28" t="s">
        <v>472</v>
      </c>
      <c r="F176" s="28" t="s">
        <v>472</v>
      </c>
      <c r="G176" s="32" t="s">
        <v>21</v>
      </c>
      <c r="H176" s="32" t="s">
        <v>452</v>
      </c>
      <c r="I176" s="43"/>
      <c r="J176" s="41"/>
      <c r="K176" s="36" t="s">
        <v>23</v>
      </c>
      <c r="L176" s="41"/>
      <c r="M176" s="41"/>
      <c r="N176" s="41"/>
      <c r="O176" s="41"/>
      <c r="P176" s="41"/>
      <c r="Q176" s="41"/>
      <c r="R176" s="41"/>
      <c r="S176" s="41"/>
      <c r="T176" s="42"/>
      <c r="U176" s="42"/>
      <c r="V176" s="42"/>
      <c r="W176" s="42"/>
      <c r="X176" s="42"/>
      <c r="Y176" s="42"/>
      <c r="Z176" s="42"/>
      <c r="AA176" s="42"/>
      <c r="AB176" s="42"/>
    </row>
    <row r="177" spans="1:28" ht="30" customHeight="1" x14ac:dyDescent="0.3">
      <c r="A177" s="32">
        <f t="shared" si="18"/>
        <v>10</v>
      </c>
      <c r="B177" s="32"/>
      <c r="C177" s="28" t="s">
        <v>473</v>
      </c>
      <c r="D177" s="28" t="s">
        <v>474</v>
      </c>
      <c r="E177" s="28" t="s">
        <v>475</v>
      </c>
      <c r="F177" s="28" t="s">
        <v>475</v>
      </c>
      <c r="G177" s="32" t="s">
        <v>21</v>
      </c>
      <c r="H177" s="32" t="s">
        <v>452</v>
      </c>
      <c r="I177" s="43"/>
      <c r="J177" s="41"/>
      <c r="K177" s="36" t="s">
        <v>23</v>
      </c>
      <c r="L177" s="41"/>
      <c r="M177" s="41"/>
      <c r="N177" s="41"/>
      <c r="O177" s="41"/>
      <c r="P177" s="41"/>
      <c r="Q177" s="41"/>
      <c r="R177" s="41"/>
      <c r="S177" s="41"/>
      <c r="T177" s="42"/>
      <c r="U177" s="42"/>
      <c r="V177" s="42"/>
      <c r="W177" s="42"/>
      <c r="X177" s="42"/>
      <c r="Y177" s="42"/>
      <c r="Z177" s="42"/>
      <c r="AA177" s="42"/>
      <c r="AB177" s="42"/>
    </row>
    <row r="178" spans="1:28" ht="30" customHeight="1" x14ac:dyDescent="0.3">
      <c r="A178" s="32">
        <f t="shared" si="18"/>
        <v>11</v>
      </c>
      <c r="B178" s="32"/>
      <c r="C178" s="28" t="s">
        <v>476</v>
      </c>
      <c r="D178" s="28" t="s">
        <v>477</v>
      </c>
      <c r="E178" s="28" t="s">
        <v>478</v>
      </c>
      <c r="F178" s="28" t="s">
        <v>478</v>
      </c>
      <c r="G178" s="32" t="s">
        <v>21</v>
      </c>
      <c r="H178" s="32" t="s">
        <v>452</v>
      </c>
      <c r="I178" s="43"/>
      <c r="J178" s="41"/>
      <c r="K178" s="36" t="s">
        <v>23</v>
      </c>
      <c r="L178" s="41"/>
      <c r="M178" s="41"/>
      <c r="N178" s="41"/>
      <c r="O178" s="41"/>
      <c r="P178" s="41"/>
      <c r="Q178" s="41"/>
      <c r="R178" s="41"/>
      <c r="S178" s="41"/>
      <c r="T178" s="42"/>
      <c r="U178" s="42"/>
      <c r="V178" s="42"/>
      <c r="W178" s="42"/>
      <c r="X178" s="42"/>
      <c r="Y178" s="42"/>
      <c r="Z178" s="42"/>
      <c r="AA178" s="42"/>
      <c r="AB178" s="42"/>
    </row>
    <row r="179" spans="1:28" ht="30" customHeight="1" x14ac:dyDescent="0.3">
      <c r="A179" s="32">
        <f t="shared" si="18"/>
        <v>12</v>
      </c>
      <c r="B179" s="32"/>
      <c r="C179" s="28" t="s">
        <v>479</v>
      </c>
      <c r="D179" s="28" t="s">
        <v>480</v>
      </c>
      <c r="E179" s="28" t="s">
        <v>481</v>
      </c>
      <c r="F179" s="28" t="s">
        <v>481</v>
      </c>
      <c r="G179" s="32" t="s">
        <v>21</v>
      </c>
      <c r="H179" s="32" t="s">
        <v>452</v>
      </c>
      <c r="I179" s="43"/>
      <c r="J179" s="41"/>
      <c r="K179" s="36" t="s">
        <v>23</v>
      </c>
      <c r="L179" s="41"/>
      <c r="M179" s="41"/>
      <c r="N179" s="41"/>
      <c r="O179" s="41"/>
      <c r="P179" s="41"/>
      <c r="Q179" s="41"/>
      <c r="R179" s="41"/>
      <c r="S179" s="41"/>
      <c r="T179" s="42"/>
      <c r="U179" s="42"/>
      <c r="V179" s="42"/>
      <c r="W179" s="42"/>
      <c r="X179" s="42"/>
      <c r="Y179" s="42"/>
      <c r="Z179" s="42"/>
      <c r="AA179" s="42"/>
      <c r="AB179" s="42"/>
    </row>
    <row r="180" spans="1:28" ht="30" customHeight="1" x14ac:dyDescent="0.3">
      <c r="A180" s="32">
        <f t="shared" si="18"/>
        <v>13</v>
      </c>
      <c r="B180" s="53" t="s">
        <v>71</v>
      </c>
      <c r="C180" s="28" t="s">
        <v>449</v>
      </c>
      <c r="D180" s="28" t="s">
        <v>482</v>
      </c>
      <c r="E180" s="28" t="s">
        <v>483</v>
      </c>
      <c r="F180" s="32" t="str">
        <f t="shared" ref="F180:F200" si="19">IF(K180="Passed","Found as per as expectations","Found not as per as exdpectations")</f>
        <v>Found as per as expectations</v>
      </c>
      <c r="G180" s="32" t="s">
        <v>21</v>
      </c>
      <c r="H180" s="32" t="s">
        <v>452</v>
      </c>
      <c r="I180" s="43"/>
      <c r="J180" s="41"/>
      <c r="K180" s="36" t="s">
        <v>23</v>
      </c>
      <c r="L180" s="41"/>
      <c r="M180" s="41"/>
      <c r="N180" s="41"/>
      <c r="O180" s="41"/>
      <c r="P180" s="41"/>
      <c r="Q180" s="41"/>
      <c r="R180" s="41"/>
      <c r="S180" s="41"/>
      <c r="T180" s="42"/>
      <c r="U180" s="42"/>
      <c r="V180" s="42"/>
      <c r="W180" s="42"/>
      <c r="X180" s="42"/>
      <c r="Y180" s="42"/>
      <c r="Z180" s="42"/>
      <c r="AA180" s="42"/>
      <c r="AB180" s="42"/>
    </row>
    <row r="181" spans="1:28" ht="30" customHeight="1" x14ac:dyDescent="0.3">
      <c r="A181" s="32">
        <f t="shared" si="18"/>
        <v>14</v>
      </c>
      <c r="B181" s="32"/>
      <c r="C181" s="28" t="s">
        <v>449</v>
      </c>
      <c r="D181" s="28" t="s">
        <v>484</v>
      </c>
      <c r="E181" s="28" t="s">
        <v>485</v>
      </c>
      <c r="F181" s="32" t="str">
        <f t="shared" si="19"/>
        <v>Found as per as expectations</v>
      </c>
      <c r="G181" s="32" t="s">
        <v>21</v>
      </c>
      <c r="H181" s="32" t="s">
        <v>452</v>
      </c>
      <c r="I181" s="43"/>
      <c r="J181" s="41"/>
      <c r="K181" s="36" t="s">
        <v>23</v>
      </c>
      <c r="L181" s="41"/>
      <c r="M181" s="41"/>
      <c r="N181" s="41"/>
      <c r="O181" s="41"/>
      <c r="P181" s="41"/>
      <c r="Q181" s="41"/>
      <c r="R181" s="41"/>
      <c r="S181" s="41"/>
      <c r="T181" s="42"/>
      <c r="U181" s="42"/>
      <c r="V181" s="42"/>
      <c r="W181" s="42"/>
      <c r="X181" s="42"/>
      <c r="Y181" s="42"/>
      <c r="Z181" s="42"/>
      <c r="AA181" s="42"/>
      <c r="AB181" s="42"/>
    </row>
    <row r="182" spans="1:28" ht="30" customHeight="1" x14ac:dyDescent="0.3">
      <c r="A182" s="32">
        <f t="shared" si="18"/>
        <v>15</v>
      </c>
      <c r="B182" s="32"/>
      <c r="C182" s="28" t="s">
        <v>455</v>
      </c>
      <c r="D182" s="28" t="s">
        <v>486</v>
      </c>
      <c r="E182" s="28" t="s">
        <v>487</v>
      </c>
      <c r="F182" s="32" t="str">
        <f t="shared" si="19"/>
        <v>Found as per as expectations</v>
      </c>
      <c r="G182" s="32" t="s">
        <v>21</v>
      </c>
      <c r="H182" s="32" t="s">
        <v>452</v>
      </c>
      <c r="I182" s="43"/>
      <c r="J182" s="41"/>
      <c r="K182" s="36" t="s">
        <v>23</v>
      </c>
      <c r="L182" s="41"/>
      <c r="M182" s="41"/>
      <c r="N182" s="41"/>
      <c r="O182" s="41"/>
      <c r="P182" s="41"/>
      <c r="Q182" s="41"/>
      <c r="R182" s="41"/>
      <c r="S182" s="41"/>
      <c r="T182" s="42"/>
      <c r="U182" s="42"/>
      <c r="V182" s="42"/>
      <c r="W182" s="42"/>
      <c r="X182" s="42"/>
      <c r="Y182" s="42"/>
      <c r="Z182" s="42"/>
      <c r="AA182" s="42"/>
      <c r="AB182" s="42"/>
    </row>
    <row r="183" spans="1:28" ht="30" customHeight="1" x14ac:dyDescent="0.3">
      <c r="A183" s="32">
        <f t="shared" si="18"/>
        <v>16</v>
      </c>
      <c r="B183" s="32"/>
      <c r="C183" s="28" t="s">
        <v>455</v>
      </c>
      <c r="D183" s="28" t="s">
        <v>488</v>
      </c>
      <c r="E183" s="28" t="s">
        <v>489</v>
      </c>
      <c r="F183" s="32" t="str">
        <f t="shared" si="19"/>
        <v>Found as per as expectations</v>
      </c>
      <c r="G183" s="32" t="s">
        <v>21</v>
      </c>
      <c r="H183" s="32" t="s">
        <v>452</v>
      </c>
      <c r="I183" s="43"/>
      <c r="J183" s="41"/>
      <c r="K183" s="36" t="s">
        <v>23</v>
      </c>
      <c r="L183" s="41"/>
      <c r="M183" s="41"/>
      <c r="N183" s="41"/>
      <c r="O183" s="41"/>
      <c r="P183" s="41"/>
      <c r="Q183" s="41"/>
      <c r="R183" s="41"/>
      <c r="S183" s="41"/>
      <c r="T183" s="42"/>
      <c r="U183" s="42"/>
      <c r="V183" s="42"/>
      <c r="W183" s="42"/>
      <c r="X183" s="42"/>
      <c r="Y183" s="42"/>
      <c r="Z183" s="42"/>
      <c r="AA183" s="42"/>
      <c r="AB183" s="42"/>
    </row>
    <row r="184" spans="1:28" ht="30" customHeight="1" x14ac:dyDescent="0.3">
      <c r="A184" s="32">
        <f t="shared" si="18"/>
        <v>17</v>
      </c>
      <c r="B184" s="32"/>
      <c r="C184" s="28" t="s">
        <v>455</v>
      </c>
      <c r="D184" s="28" t="s">
        <v>490</v>
      </c>
      <c r="E184" s="28" t="s">
        <v>491</v>
      </c>
      <c r="F184" s="32" t="str">
        <f t="shared" si="19"/>
        <v>Found as per as expectations</v>
      </c>
      <c r="G184" s="32" t="s">
        <v>21</v>
      </c>
      <c r="H184" s="32" t="s">
        <v>452</v>
      </c>
      <c r="I184" s="24"/>
      <c r="J184" s="45"/>
      <c r="K184" s="46" t="s">
        <v>23</v>
      </c>
      <c r="L184" s="28"/>
      <c r="M184" s="25"/>
      <c r="N184" s="25"/>
      <c r="O184" s="25"/>
      <c r="P184" s="25"/>
      <c r="Q184" s="25"/>
      <c r="R184" s="25"/>
      <c r="S184" s="25"/>
      <c r="T184" s="28"/>
      <c r="U184" s="28"/>
      <c r="V184" s="28"/>
      <c r="W184" s="28"/>
      <c r="X184" s="28"/>
      <c r="Y184" s="28"/>
      <c r="Z184" s="28"/>
      <c r="AA184" s="28"/>
      <c r="AB184" s="28"/>
    </row>
    <row r="185" spans="1:28" ht="30" customHeight="1" x14ac:dyDescent="0.3">
      <c r="A185" s="32">
        <f t="shared" si="18"/>
        <v>18</v>
      </c>
      <c r="B185" s="32"/>
      <c r="C185" s="28" t="s">
        <v>492</v>
      </c>
      <c r="D185" s="28" t="s">
        <v>493</v>
      </c>
      <c r="E185" s="28" t="s">
        <v>494</v>
      </c>
      <c r="F185" s="32" t="str">
        <f t="shared" si="19"/>
        <v>Found as per as expectations</v>
      </c>
      <c r="G185" s="32" t="s">
        <v>21</v>
      </c>
      <c r="H185" s="32" t="s">
        <v>452</v>
      </c>
      <c r="I185" s="44"/>
      <c r="J185" s="45"/>
      <c r="K185" s="46" t="s">
        <v>23</v>
      </c>
      <c r="L185" s="36"/>
      <c r="M185" s="25"/>
      <c r="N185" s="25"/>
      <c r="O185" s="25"/>
      <c r="P185" s="25"/>
      <c r="Q185" s="25"/>
      <c r="R185" s="25"/>
      <c r="S185" s="25"/>
      <c r="T185" s="28"/>
      <c r="U185" s="28"/>
      <c r="V185" s="28"/>
      <c r="W185" s="28"/>
      <c r="X185" s="28"/>
      <c r="Y185" s="28"/>
      <c r="Z185" s="28"/>
      <c r="AA185" s="28"/>
      <c r="AB185" s="28"/>
    </row>
    <row r="186" spans="1:28" ht="30" customHeight="1" x14ac:dyDescent="0.3">
      <c r="A186" s="32">
        <f t="shared" si="18"/>
        <v>19</v>
      </c>
      <c r="B186" s="83"/>
      <c r="C186" s="28" t="s">
        <v>492</v>
      </c>
      <c r="D186" s="28" t="s">
        <v>495</v>
      </c>
      <c r="E186" s="28" t="s">
        <v>496</v>
      </c>
      <c r="F186" s="32" t="str">
        <f t="shared" si="19"/>
        <v>Found as per as expectations</v>
      </c>
      <c r="G186" s="32" t="s">
        <v>21</v>
      </c>
      <c r="H186" s="32" t="s">
        <v>452</v>
      </c>
      <c r="I186" s="49"/>
      <c r="J186" s="50"/>
      <c r="K186" s="46" t="s">
        <v>23</v>
      </c>
      <c r="L186" s="28"/>
      <c r="M186" s="25"/>
      <c r="N186" s="25"/>
      <c r="O186" s="25"/>
      <c r="P186" s="25"/>
      <c r="Q186" s="25"/>
      <c r="R186" s="25"/>
      <c r="S186" s="25"/>
      <c r="T186" s="28"/>
      <c r="U186" s="28"/>
      <c r="V186" s="28"/>
      <c r="W186" s="28"/>
      <c r="X186" s="28"/>
      <c r="Y186" s="28"/>
      <c r="Z186" s="28"/>
      <c r="AA186" s="28"/>
      <c r="AB186" s="28"/>
    </row>
    <row r="187" spans="1:28" ht="30" customHeight="1" x14ac:dyDescent="0.3">
      <c r="A187" s="32">
        <f t="shared" si="18"/>
        <v>20</v>
      </c>
      <c r="B187" s="32"/>
      <c r="C187" s="28" t="s">
        <v>492</v>
      </c>
      <c r="D187" s="28" t="s">
        <v>497</v>
      </c>
      <c r="E187" s="28" t="s">
        <v>498</v>
      </c>
      <c r="F187" s="32" t="str">
        <f t="shared" si="19"/>
        <v>Found not as per as exdpectations</v>
      </c>
      <c r="G187" s="32" t="s">
        <v>499</v>
      </c>
      <c r="H187" s="32" t="s">
        <v>452</v>
      </c>
      <c r="I187" s="24" t="s">
        <v>57</v>
      </c>
      <c r="J187" s="45"/>
      <c r="K187" s="46" t="s">
        <v>58</v>
      </c>
      <c r="L187" s="36"/>
      <c r="M187" s="48"/>
      <c r="N187" s="48"/>
      <c r="O187" s="48"/>
      <c r="P187" s="48"/>
      <c r="Q187" s="48"/>
      <c r="R187" s="48"/>
      <c r="S187" s="48"/>
      <c r="T187" s="52"/>
      <c r="U187" s="52"/>
      <c r="V187" s="52"/>
      <c r="W187" s="52"/>
      <c r="X187" s="52"/>
      <c r="Y187" s="52"/>
      <c r="Z187" s="52"/>
      <c r="AA187" s="52"/>
      <c r="AB187" s="52"/>
    </row>
    <row r="188" spans="1:28" ht="30" customHeight="1" x14ac:dyDescent="0.3">
      <c r="A188" s="32">
        <f t="shared" si="18"/>
        <v>21</v>
      </c>
      <c r="B188" s="28"/>
      <c r="C188" s="28" t="s">
        <v>467</v>
      </c>
      <c r="D188" s="28" t="s">
        <v>500</v>
      </c>
      <c r="E188" s="28" t="s">
        <v>501</v>
      </c>
      <c r="F188" s="32" t="str">
        <f t="shared" si="19"/>
        <v>Found as per as expectations</v>
      </c>
      <c r="G188" s="32" t="s">
        <v>21</v>
      </c>
      <c r="H188" s="32" t="s">
        <v>452</v>
      </c>
      <c r="I188" s="54"/>
      <c r="J188" s="41"/>
      <c r="K188" s="36" t="s">
        <v>23</v>
      </c>
      <c r="L188" s="41"/>
      <c r="M188" s="25"/>
      <c r="N188" s="25"/>
      <c r="O188" s="25"/>
      <c r="P188" s="25"/>
      <c r="Q188" s="25"/>
      <c r="R188" s="25"/>
      <c r="S188" s="25"/>
      <c r="T188" s="28"/>
      <c r="U188" s="28"/>
      <c r="V188" s="28"/>
      <c r="W188" s="28"/>
      <c r="X188" s="28"/>
      <c r="Y188" s="28"/>
      <c r="Z188" s="28"/>
      <c r="AA188" s="28"/>
      <c r="AB188" s="28"/>
    </row>
    <row r="189" spans="1:28" ht="30" customHeight="1" x14ac:dyDescent="0.3">
      <c r="A189" s="32">
        <f t="shared" si="18"/>
        <v>22</v>
      </c>
      <c r="B189" s="28"/>
      <c r="C189" s="28" t="s">
        <v>467</v>
      </c>
      <c r="D189" s="28" t="s">
        <v>502</v>
      </c>
      <c r="E189" s="28" t="s">
        <v>503</v>
      </c>
      <c r="F189" s="32" t="str">
        <f t="shared" si="19"/>
        <v>Found as per as expectations</v>
      </c>
      <c r="G189" s="32" t="s">
        <v>21</v>
      </c>
      <c r="H189" s="32" t="s">
        <v>452</v>
      </c>
      <c r="I189" s="54"/>
      <c r="J189" s="41"/>
      <c r="K189" s="36" t="s">
        <v>23</v>
      </c>
      <c r="L189" s="41"/>
      <c r="M189" s="25"/>
      <c r="N189" s="25"/>
      <c r="O189" s="25"/>
      <c r="P189" s="25"/>
      <c r="Q189" s="25"/>
      <c r="R189" s="25"/>
      <c r="S189" s="25"/>
      <c r="T189" s="28"/>
      <c r="U189" s="28"/>
      <c r="V189" s="28"/>
      <c r="W189" s="28"/>
      <c r="X189" s="28"/>
      <c r="Y189" s="28"/>
      <c r="Z189" s="28"/>
      <c r="AA189" s="28"/>
      <c r="AB189" s="28"/>
    </row>
    <row r="190" spans="1:28" ht="30" customHeight="1" x14ac:dyDescent="0.3">
      <c r="A190" s="32">
        <f t="shared" si="18"/>
        <v>23</v>
      </c>
      <c r="B190" s="28"/>
      <c r="C190" s="28" t="s">
        <v>467</v>
      </c>
      <c r="D190" s="28" t="s">
        <v>504</v>
      </c>
      <c r="E190" s="28" t="s">
        <v>505</v>
      </c>
      <c r="F190" s="32" t="str">
        <f t="shared" si="19"/>
        <v>Found not as per as exdpectations</v>
      </c>
      <c r="G190" s="32" t="s">
        <v>21</v>
      </c>
      <c r="H190" s="32" t="s">
        <v>452</v>
      </c>
      <c r="I190" s="65" t="s">
        <v>57</v>
      </c>
      <c r="J190" s="41"/>
      <c r="K190" s="36" t="s">
        <v>58</v>
      </c>
      <c r="L190" s="41"/>
      <c r="M190" s="25"/>
      <c r="N190" s="25"/>
      <c r="O190" s="25"/>
      <c r="P190" s="25"/>
      <c r="Q190" s="25"/>
      <c r="R190" s="25"/>
      <c r="S190" s="25"/>
      <c r="T190" s="28"/>
      <c r="U190" s="28"/>
      <c r="V190" s="28"/>
      <c r="W190" s="28"/>
      <c r="X190" s="28"/>
      <c r="Y190" s="28"/>
      <c r="Z190" s="28"/>
      <c r="AA190" s="28"/>
      <c r="AB190" s="28"/>
    </row>
    <row r="191" spans="1:28" ht="30" customHeight="1" x14ac:dyDescent="0.3">
      <c r="A191" s="32">
        <f t="shared" si="18"/>
        <v>24</v>
      </c>
      <c r="B191" s="28"/>
      <c r="C191" s="28" t="s">
        <v>467</v>
      </c>
      <c r="D191" s="28" t="s">
        <v>506</v>
      </c>
      <c r="E191" s="28" t="s">
        <v>507</v>
      </c>
      <c r="F191" s="32" t="str">
        <f t="shared" si="19"/>
        <v>Found as per as expectations</v>
      </c>
      <c r="G191" s="32" t="s">
        <v>21</v>
      </c>
      <c r="H191" s="32" t="s">
        <v>452</v>
      </c>
      <c r="I191" s="54"/>
      <c r="J191" s="41"/>
      <c r="K191" s="36" t="s">
        <v>23</v>
      </c>
      <c r="L191" s="41"/>
      <c r="M191" s="25"/>
      <c r="N191" s="25"/>
      <c r="O191" s="25"/>
      <c r="P191" s="25"/>
      <c r="Q191" s="25"/>
      <c r="R191" s="25"/>
      <c r="S191" s="25"/>
      <c r="T191" s="28"/>
      <c r="U191" s="28"/>
      <c r="V191" s="28"/>
      <c r="W191" s="28"/>
      <c r="X191" s="28"/>
      <c r="Y191" s="28"/>
      <c r="Z191" s="28"/>
      <c r="AA191" s="28"/>
      <c r="AB191" s="28"/>
    </row>
    <row r="192" spans="1:28" ht="30" customHeight="1" x14ac:dyDescent="0.3">
      <c r="A192" s="32">
        <f t="shared" si="18"/>
        <v>25</v>
      </c>
      <c r="B192" s="28"/>
      <c r="C192" s="28" t="s">
        <v>467</v>
      </c>
      <c r="D192" s="28" t="s">
        <v>508</v>
      </c>
      <c r="E192" s="28" t="s">
        <v>509</v>
      </c>
      <c r="F192" s="32" t="str">
        <f t="shared" si="19"/>
        <v>Found as per as expectations</v>
      </c>
      <c r="G192" s="32" t="s">
        <v>21</v>
      </c>
      <c r="H192" s="32" t="s">
        <v>452</v>
      </c>
      <c r="I192" s="54"/>
      <c r="J192" s="41"/>
      <c r="K192" s="36" t="s">
        <v>23</v>
      </c>
      <c r="L192" s="41"/>
      <c r="M192" s="25"/>
      <c r="N192" s="25"/>
      <c r="O192" s="25"/>
      <c r="P192" s="25"/>
      <c r="Q192" s="25"/>
      <c r="R192" s="25"/>
      <c r="S192" s="25"/>
      <c r="T192" s="28"/>
      <c r="U192" s="28"/>
      <c r="V192" s="28"/>
      <c r="W192" s="28"/>
      <c r="X192" s="28"/>
      <c r="Y192" s="28"/>
      <c r="Z192" s="28"/>
      <c r="AA192" s="28"/>
      <c r="AB192" s="28"/>
    </row>
    <row r="193" spans="1:28" ht="30" customHeight="1" x14ac:dyDescent="0.3">
      <c r="A193" s="32">
        <f t="shared" si="18"/>
        <v>26</v>
      </c>
      <c r="B193" s="28"/>
      <c r="C193" s="28" t="s">
        <v>510</v>
      </c>
      <c r="D193" s="28" t="s">
        <v>511</v>
      </c>
      <c r="E193" s="28" t="s">
        <v>512</v>
      </c>
      <c r="F193" s="32" t="str">
        <f t="shared" si="19"/>
        <v>Found as per as expectations</v>
      </c>
      <c r="G193" s="32" t="s">
        <v>21</v>
      </c>
      <c r="H193" s="32" t="s">
        <v>452</v>
      </c>
      <c r="I193" s="54"/>
      <c r="J193" s="41"/>
      <c r="K193" s="36" t="s">
        <v>23</v>
      </c>
      <c r="L193" s="41"/>
      <c r="M193" s="25"/>
      <c r="N193" s="25"/>
      <c r="O193" s="25"/>
      <c r="P193" s="25"/>
      <c r="Q193" s="25"/>
      <c r="R193" s="25"/>
      <c r="S193" s="25"/>
      <c r="T193" s="28"/>
      <c r="U193" s="28"/>
      <c r="V193" s="28"/>
      <c r="W193" s="28"/>
      <c r="X193" s="28"/>
      <c r="Y193" s="28"/>
      <c r="Z193" s="28"/>
      <c r="AA193" s="28"/>
      <c r="AB193" s="28"/>
    </row>
    <row r="194" spans="1:28" ht="30" customHeight="1" x14ac:dyDescent="0.3">
      <c r="A194" s="32">
        <f t="shared" si="18"/>
        <v>27</v>
      </c>
      <c r="B194" s="28"/>
      <c r="C194" s="28" t="s">
        <v>510</v>
      </c>
      <c r="D194" s="28" t="s">
        <v>513</v>
      </c>
      <c r="E194" s="28" t="s">
        <v>514</v>
      </c>
      <c r="F194" s="32" t="str">
        <f t="shared" si="19"/>
        <v>Found as per as expectations</v>
      </c>
      <c r="G194" s="32" t="s">
        <v>21</v>
      </c>
      <c r="H194" s="32" t="s">
        <v>452</v>
      </c>
      <c r="I194" s="54"/>
      <c r="J194" s="41"/>
      <c r="K194" s="36" t="s">
        <v>23</v>
      </c>
      <c r="L194" s="41"/>
      <c r="M194" s="25"/>
      <c r="N194" s="25"/>
      <c r="O194" s="25"/>
      <c r="P194" s="25"/>
      <c r="Q194" s="25"/>
      <c r="R194" s="25"/>
      <c r="S194" s="25"/>
      <c r="T194" s="28"/>
      <c r="U194" s="28"/>
      <c r="V194" s="28"/>
      <c r="W194" s="28"/>
      <c r="X194" s="28"/>
      <c r="Y194" s="28"/>
      <c r="Z194" s="28"/>
      <c r="AA194" s="28"/>
      <c r="AB194" s="28"/>
    </row>
    <row r="195" spans="1:28" ht="30" customHeight="1" x14ac:dyDescent="0.3">
      <c r="A195" s="32">
        <f t="shared" si="18"/>
        <v>28</v>
      </c>
      <c r="B195" s="28"/>
      <c r="C195" s="28" t="s">
        <v>510</v>
      </c>
      <c r="D195" s="28" t="s">
        <v>515</v>
      </c>
      <c r="E195" s="28" t="s">
        <v>514</v>
      </c>
      <c r="F195" s="32" t="str">
        <f t="shared" si="19"/>
        <v>Found as per as expectations</v>
      </c>
      <c r="G195" s="32" t="s">
        <v>21</v>
      </c>
      <c r="H195" s="32" t="s">
        <v>452</v>
      </c>
      <c r="I195" s="54"/>
      <c r="J195" s="41"/>
      <c r="K195" s="36" t="s">
        <v>23</v>
      </c>
      <c r="L195" s="41"/>
      <c r="M195" s="25"/>
      <c r="N195" s="25"/>
      <c r="O195" s="25"/>
      <c r="P195" s="25"/>
      <c r="Q195" s="25"/>
      <c r="R195" s="25"/>
      <c r="S195" s="25"/>
      <c r="T195" s="28"/>
      <c r="U195" s="28"/>
      <c r="V195" s="28"/>
      <c r="W195" s="28"/>
      <c r="X195" s="28"/>
      <c r="Y195" s="28"/>
      <c r="Z195" s="28"/>
      <c r="AA195" s="28"/>
      <c r="AB195" s="28"/>
    </row>
    <row r="196" spans="1:28" ht="30" customHeight="1" x14ac:dyDescent="0.3">
      <c r="A196" s="32">
        <f t="shared" si="18"/>
        <v>29</v>
      </c>
      <c r="B196" s="28"/>
      <c r="C196" s="28" t="s">
        <v>473</v>
      </c>
      <c r="D196" s="28" t="s">
        <v>516</v>
      </c>
      <c r="E196" s="28" t="s">
        <v>517</v>
      </c>
      <c r="F196" s="32" t="str">
        <f t="shared" si="19"/>
        <v>Found as per as expectations</v>
      </c>
      <c r="G196" s="32" t="s">
        <v>21</v>
      </c>
      <c r="H196" s="32" t="s">
        <v>452</v>
      </c>
      <c r="I196" s="54"/>
      <c r="J196" s="41"/>
      <c r="K196" s="36" t="s">
        <v>23</v>
      </c>
      <c r="L196" s="41"/>
      <c r="M196" s="25"/>
      <c r="N196" s="25"/>
      <c r="O196" s="25"/>
      <c r="P196" s="25"/>
      <c r="Q196" s="25"/>
      <c r="R196" s="25"/>
      <c r="S196" s="25"/>
      <c r="T196" s="28"/>
      <c r="U196" s="28"/>
      <c r="V196" s="28"/>
      <c r="W196" s="28"/>
      <c r="X196" s="28"/>
      <c r="Y196" s="28"/>
      <c r="Z196" s="28"/>
      <c r="AA196" s="28"/>
      <c r="AB196" s="28"/>
    </row>
    <row r="197" spans="1:28" ht="30" customHeight="1" x14ac:dyDescent="0.3">
      <c r="A197" s="32">
        <f t="shared" si="18"/>
        <v>30</v>
      </c>
      <c r="B197" s="28"/>
      <c r="C197" s="28" t="s">
        <v>76</v>
      </c>
      <c r="D197" s="28" t="s">
        <v>518</v>
      </c>
      <c r="E197" s="28" t="s">
        <v>519</v>
      </c>
      <c r="F197" s="32" t="str">
        <f t="shared" si="19"/>
        <v>Found as per as expectations</v>
      </c>
      <c r="G197" s="32" t="s">
        <v>21</v>
      </c>
      <c r="H197" s="32" t="s">
        <v>452</v>
      </c>
      <c r="I197" s="54"/>
      <c r="J197" s="41"/>
      <c r="K197" s="36" t="s">
        <v>23</v>
      </c>
      <c r="L197" s="41"/>
      <c r="M197" s="25"/>
      <c r="N197" s="25"/>
      <c r="O197" s="25"/>
      <c r="P197" s="25"/>
      <c r="Q197" s="25"/>
      <c r="R197" s="25"/>
      <c r="S197" s="25"/>
      <c r="T197" s="28"/>
      <c r="U197" s="28"/>
      <c r="V197" s="28"/>
      <c r="W197" s="28"/>
      <c r="X197" s="28"/>
      <c r="Y197" s="28"/>
      <c r="Z197" s="28"/>
      <c r="AA197" s="28"/>
      <c r="AB197" s="28"/>
    </row>
    <row r="198" spans="1:28" ht="30" customHeight="1" x14ac:dyDescent="0.3">
      <c r="A198" s="32">
        <f t="shared" si="18"/>
        <v>31</v>
      </c>
      <c r="B198" s="56" t="s">
        <v>520</v>
      </c>
      <c r="C198" s="28" t="s">
        <v>521</v>
      </c>
      <c r="D198" s="28" t="s">
        <v>522</v>
      </c>
      <c r="E198" s="28" t="s">
        <v>523</v>
      </c>
      <c r="F198" s="32" t="str">
        <f t="shared" si="19"/>
        <v>Found as per as expectations</v>
      </c>
      <c r="G198" s="32" t="s">
        <v>21</v>
      </c>
      <c r="H198" s="32" t="s">
        <v>452</v>
      </c>
      <c r="I198" s="54"/>
      <c r="J198" s="41"/>
      <c r="K198" s="36" t="s">
        <v>23</v>
      </c>
      <c r="L198" s="41"/>
      <c r="M198" s="25"/>
      <c r="N198" s="25"/>
      <c r="O198" s="25"/>
      <c r="P198" s="25"/>
      <c r="Q198" s="25"/>
      <c r="R198" s="25"/>
      <c r="S198" s="25"/>
      <c r="T198" s="28"/>
      <c r="U198" s="28"/>
      <c r="V198" s="28"/>
      <c r="W198" s="28"/>
      <c r="X198" s="28"/>
      <c r="Y198" s="28"/>
      <c r="Z198" s="28"/>
      <c r="AA198" s="28"/>
      <c r="AB198" s="28"/>
    </row>
    <row r="199" spans="1:28" ht="30" customHeight="1" x14ac:dyDescent="0.3">
      <c r="A199" s="32">
        <f t="shared" si="18"/>
        <v>32</v>
      </c>
      <c r="B199" s="56" t="s">
        <v>524</v>
      </c>
      <c r="C199" s="28" t="s">
        <v>525</v>
      </c>
      <c r="D199" s="28" t="s">
        <v>526</v>
      </c>
      <c r="E199" s="28" t="s">
        <v>527</v>
      </c>
      <c r="F199" s="32" t="str">
        <f t="shared" si="19"/>
        <v>Found as per as expectations</v>
      </c>
      <c r="G199" s="32" t="s">
        <v>21</v>
      </c>
      <c r="H199" s="32" t="s">
        <v>452</v>
      </c>
      <c r="I199" s="44"/>
      <c r="J199" s="45"/>
      <c r="K199" s="36" t="s">
        <v>23</v>
      </c>
      <c r="L199" s="36"/>
      <c r="M199" s="25"/>
      <c r="N199" s="25"/>
      <c r="O199" s="25"/>
      <c r="P199" s="25"/>
      <c r="Q199" s="25"/>
      <c r="R199" s="25"/>
      <c r="S199" s="25"/>
      <c r="T199" s="28"/>
      <c r="U199" s="28"/>
      <c r="V199" s="28"/>
      <c r="W199" s="28"/>
      <c r="X199" s="28"/>
      <c r="Y199" s="28"/>
      <c r="Z199" s="28"/>
      <c r="AA199" s="28"/>
      <c r="AB199" s="28"/>
    </row>
    <row r="200" spans="1:28" ht="30" customHeight="1" x14ac:dyDescent="0.3">
      <c r="A200" s="32">
        <f t="shared" si="18"/>
        <v>33</v>
      </c>
      <c r="B200" s="56" t="s">
        <v>528</v>
      </c>
      <c r="C200" s="28" t="s">
        <v>467</v>
      </c>
      <c r="D200" s="28" t="s">
        <v>529</v>
      </c>
      <c r="E200" s="28" t="s">
        <v>530</v>
      </c>
      <c r="F200" s="32" t="str">
        <f t="shared" si="19"/>
        <v>Found as per as expectations</v>
      </c>
      <c r="G200" s="32" t="s">
        <v>21</v>
      </c>
      <c r="H200" s="32" t="s">
        <v>452</v>
      </c>
      <c r="I200" s="44"/>
      <c r="J200" s="45"/>
      <c r="K200" s="36" t="s">
        <v>23</v>
      </c>
      <c r="L200" s="36"/>
      <c r="M200" s="25"/>
      <c r="N200" s="25"/>
      <c r="O200" s="25"/>
      <c r="P200" s="25"/>
      <c r="Q200" s="25"/>
      <c r="R200" s="25"/>
      <c r="S200" s="25"/>
      <c r="T200" s="28"/>
      <c r="U200" s="28"/>
      <c r="V200" s="28"/>
      <c r="W200" s="28"/>
      <c r="X200" s="28"/>
      <c r="Y200" s="28"/>
      <c r="Z200" s="28"/>
      <c r="AA200" s="28"/>
      <c r="AB200" s="28"/>
    </row>
    <row r="201" spans="1:28" ht="30" customHeight="1" x14ac:dyDescent="0.3">
      <c r="A201" s="55" t="s">
        <v>531</v>
      </c>
      <c r="B201" s="22"/>
      <c r="C201" s="22"/>
      <c r="D201" s="22"/>
      <c r="E201" s="22"/>
      <c r="F201" s="22"/>
      <c r="G201" s="22"/>
      <c r="H201" s="22"/>
      <c r="I201" s="22"/>
      <c r="J201" s="22"/>
      <c r="K201" s="23"/>
      <c r="L201" s="25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 spans="1:28" ht="30" customHeight="1" x14ac:dyDescent="0.3">
      <c r="A202" s="32">
        <f t="shared" ref="A202:A227" si="20">ROW()-201</f>
        <v>1</v>
      </c>
      <c r="B202" s="33" t="s">
        <v>17</v>
      </c>
      <c r="C202" s="25" t="s">
        <v>532</v>
      </c>
      <c r="D202" s="25" t="s">
        <v>533</v>
      </c>
      <c r="E202" s="25" t="s">
        <v>534</v>
      </c>
      <c r="F202" s="32" t="str">
        <f t="shared" ref="F202:F227" si="21">IF(K202="Passed","Found as per as expectations","Found not as per as exdpectations")</f>
        <v>Found as per as expectations</v>
      </c>
      <c r="G202" s="32" t="s">
        <v>535</v>
      </c>
      <c r="H202" s="32" t="s">
        <v>536</v>
      </c>
      <c r="I202" s="35"/>
      <c r="J202" s="33"/>
      <c r="K202" s="36" t="s">
        <v>23</v>
      </c>
      <c r="L202" s="33"/>
      <c r="M202" s="37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 spans="1:28" ht="30" customHeight="1" x14ac:dyDescent="0.3">
      <c r="A203" s="32">
        <f t="shared" si="20"/>
        <v>2</v>
      </c>
      <c r="B203" s="33"/>
      <c r="C203" s="25" t="s">
        <v>537</v>
      </c>
      <c r="D203" s="25" t="s">
        <v>538</v>
      </c>
      <c r="E203" s="25" t="s">
        <v>539</v>
      </c>
      <c r="F203" s="32" t="str">
        <f t="shared" si="21"/>
        <v>Found as per as expectations</v>
      </c>
      <c r="G203" s="32" t="s">
        <v>535</v>
      </c>
      <c r="H203" s="32" t="s">
        <v>536</v>
      </c>
      <c r="I203" s="35"/>
      <c r="J203" s="33"/>
      <c r="K203" s="36" t="s">
        <v>23</v>
      </c>
      <c r="L203" s="33"/>
      <c r="M203" s="41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 spans="1:28" ht="30" customHeight="1" x14ac:dyDescent="0.3">
      <c r="A204" s="32">
        <f t="shared" si="20"/>
        <v>3</v>
      </c>
      <c r="B204" s="32"/>
      <c r="C204" s="25" t="s">
        <v>540</v>
      </c>
      <c r="D204" s="25" t="s">
        <v>541</v>
      </c>
      <c r="E204" s="25" t="s">
        <v>542</v>
      </c>
      <c r="F204" s="32" t="str">
        <f t="shared" si="21"/>
        <v>Found as per as expectations</v>
      </c>
      <c r="G204" s="32" t="s">
        <v>535</v>
      </c>
      <c r="H204" s="32" t="s">
        <v>543</v>
      </c>
      <c r="I204" s="38"/>
      <c r="J204" s="39"/>
      <c r="K204" s="36" t="s">
        <v>23</v>
      </c>
      <c r="L204" s="40"/>
      <c r="M204" s="42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 spans="1:28" ht="30" customHeight="1" x14ac:dyDescent="0.3">
      <c r="A205" s="32">
        <f t="shared" si="20"/>
        <v>4</v>
      </c>
      <c r="B205" s="32"/>
      <c r="C205" s="25" t="s">
        <v>544</v>
      </c>
      <c r="D205" s="25" t="s">
        <v>545</v>
      </c>
      <c r="E205" s="25" t="s">
        <v>546</v>
      </c>
      <c r="F205" s="32" t="str">
        <f t="shared" si="21"/>
        <v>Found as per as expectations</v>
      </c>
      <c r="G205" s="32" t="s">
        <v>535</v>
      </c>
      <c r="H205" s="32" t="s">
        <v>543</v>
      </c>
      <c r="I205" s="35"/>
      <c r="J205" s="40"/>
      <c r="K205" s="36" t="s">
        <v>23</v>
      </c>
      <c r="L205" s="40"/>
      <c r="M205" s="42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 spans="1:28" ht="30" customHeight="1" x14ac:dyDescent="0.3">
      <c r="A206" s="32">
        <f t="shared" si="20"/>
        <v>5</v>
      </c>
      <c r="B206" s="32"/>
      <c r="C206" s="25" t="s">
        <v>547</v>
      </c>
      <c r="D206" s="25" t="s">
        <v>548</v>
      </c>
      <c r="E206" s="25" t="s">
        <v>549</v>
      </c>
      <c r="F206" s="32" t="str">
        <f t="shared" si="21"/>
        <v>Found as per as expectations</v>
      </c>
      <c r="G206" s="32" t="s">
        <v>535</v>
      </c>
      <c r="H206" s="32" t="s">
        <v>543</v>
      </c>
      <c r="I206" s="35"/>
      <c r="J206" s="40"/>
      <c r="K206" s="36" t="s">
        <v>23</v>
      </c>
      <c r="L206" s="40"/>
      <c r="M206" s="42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 spans="1:28" ht="30" customHeight="1" x14ac:dyDescent="0.3">
      <c r="A207" s="32">
        <f t="shared" si="20"/>
        <v>6</v>
      </c>
      <c r="B207" s="32"/>
      <c r="C207" s="25" t="s">
        <v>550</v>
      </c>
      <c r="D207" s="25" t="s">
        <v>551</v>
      </c>
      <c r="E207" s="25" t="s">
        <v>552</v>
      </c>
      <c r="F207" s="32" t="str">
        <f t="shared" si="21"/>
        <v>Found as per as expectations</v>
      </c>
      <c r="G207" s="32" t="s">
        <v>535</v>
      </c>
      <c r="H207" s="32" t="s">
        <v>543</v>
      </c>
      <c r="I207" s="35"/>
      <c r="J207" s="40"/>
      <c r="K207" s="36" t="s">
        <v>23</v>
      </c>
      <c r="L207" s="40"/>
      <c r="M207" s="41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 spans="1:28" ht="30" customHeight="1" x14ac:dyDescent="0.3">
      <c r="A208" s="32">
        <f t="shared" si="20"/>
        <v>7</v>
      </c>
      <c r="B208" s="32"/>
      <c r="C208" s="25" t="s">
        <v>553</v>
      </c>
      <c r="D208" s="25" t="s">
        <v>554</v>
      </c>
      <c r="E208" s="25" t="s">
        <v>555</v>
      </c>
      <c r="F208" s="32" t="str">
        <f t="shared" si="21"/>
        <v>Found as per as expectations</v>
      </c>
      <c r="G208" s="32" t="s">
        <v>535</v>
      </c>
      <c r="H208" s="32" t="s">
        <v>543</v>
      </c>
      <c r="I208" s="35"/>
      <c r="J208" s="40"/>
      <c r="K208" s="36" t="s">
        <v>23</v>
      </c>
      <c r="L208" s="40"/>
      <c r="M208" s="41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 spans="1:28" ht="30" customHeight="1" x14ac:dyDescent="0.3">
      <c r="A209" s="32">
        <f t="shared" si="20"/>
        <v>8</v>
      </c>
      <c r="B209" s="32"/>
      <c r="C209" s="25" t="s">
        <v>556</v>
      </c>
      <c r="D209" s="25" t="s">
        <v>557</v>
      </c>
      <c r="E209" s="25" t="s">
        <v>558</v>
      </c>
      <c r="F209" s="32" t="str">
        <f t="shared" si="21"/>
        <v>Found as per as expectations</v>
      </c>
      <c r="G209" s="32" t="s">
        <v>535</v>
      </c>
      <c r="H209" s="32" t="s">
        <v>543</v>
      </c>
      <c r="I209" s="35"/>
      <c r="J209" s="40"/>
      <c r="K209" s="36" t="s">
        <v>23</v>
      </c>
      <c r="L209" s="40"/>
      <c r="M209" s="25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 spans="1:28" ht="30" customHeight="1" x14ac:dyDescent="0.3">
      <c r="A210" s="32">
        <f t="shared" si="20"/>
        <v>9</v>
      </c>
      <c r="B210" s="32"/>
      <c r="C210" s="25" t="s">
        <v>559</v>
      </c>
      <c r="D210" s="25" t="s">
        <v>560</v>
      </c>
      <c r="E210" s="25" t="s">
        <v>561</v>
      </c>
      <c r="F210" s="32" t="str">
        <f t="shared" si="21"/>
        <v>Found as per as expectations</v>
      </c>
      <c r="G210" s="32" t="s">
        <v>535</v>
      </c>
      <c r="H210" s="32" t="s">
        <v>543</v>
      </c>
      <c r="I210" s="35"/>
      <c r="J210" s="40"/>
      <c r="K210" s="36" t="s">
        <v>23</v>
      </c>
      <c r="L210" s="40"/>
      <c r="M210" s="25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 spans="1:28" ht="30" customHeight="1" x14ac:dyDescent="0.3">
      <c r="A211" s="32">
        <f t="shared" si="20"/>
        <v>10</v>
      </c>
      <c r="B211" s="32"/>
      <c r="C211" s="25" t="s">
        <v>210</v>
      </c>
      <c r="D211" s="25" t="s">
        <v>211</v>
      </c>
      <c r="E211" s="25" t="s">
        <v>212</v>
      </c>
      <c r="F211" s="32" t="str">
        <f t="shared" si="21"/>
        <v>Found as per as expectations</v>
      </c>
      <c r="G211" s="32" t="s">
        <v>535</v>
      </c>
      <c r="H211" s="32" t="s">
        <v>543</v>
      </c>
      <c r="I211" s="43"/>
      <c r="J211" s="41"/>
      <c r="K211" s="36" t="s">
        <v>23</v>
      </c>
      <c r="L211" s="41"/>
      <c r="M211" s="4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 spans="1:28" ht="30" customHeight="1" x14ac:dyDescent="0.3">
      <c r="A212" s="32">
        <f t="shared" si="20"/>
        <v>11</v>
      </c>
      <c r="B212" s="53" t="s">
        <v>71</v>
      </c>
      <c r="C212" s="25" t="s">
        <v>562</v>
      </c>
      <c r="D212" s="25" t="s">
        <v>563</v>
      </c>
      <c r="E212" s="25" t="s">
        <v>564</v>
      </c>
      <c r="F212" s="32" t="str">
        <f t="shared" si="21"/>
        <v>Found as per as expectations</v>
      </c>
      <c r="G212" s="32" t="s">
        <v>565</v>
      </c>
      <c r="H212" s="32" t="s">
        <v>543</v>
      </c>
      <c r="I212" s="43"/>
      <c r="J212" s="41"/>
      <c r="K212" s="36" t="s">
        <v>23</v>
      </c>
      <c r="L212" s="41"/>
      <c r="M212" s="25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 spans="1:28" ht="30" customHeight="1" x14ac:dyDescent="0.3">
      <c r="A213" s="32">
        <f t="shared" si="20"/>
        <v>12</v>
      </c>
      <c r="B213" s="32"/>
      <c r="C213" s="25" t="s">
        <v>566</v>
      </c>
      <c r="D213" s="25" t="s">
        <v>567</v>
      </c>
      <c r="E213" s="25" t="s">
        <v>568</v>
      </c>
      <c r="F213" s="32" t="str">
        <f t="shared" si="21"/>
        <v>Found not as per as exdpectations</v>
      </c>
      <c r="G213" s="32" t="s">
        <v>535</v>
      </c>
      <c r="H213" s="32" t="s">
        <v>543</v>
      </c>
      <c r="I213" s="65" t="s">
        <v>57</v>
      </c>
      <c r="J213" s="41"/>
      <c r="K213" s="36" t="s">
        <v>58</v>
      </c>
      <c r="L213" s="41"/>
      <c r="M213" s="25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 spans="1:28" ht="30" customHeight="1" x14ac:dyDescent="0.3">
      <c r="A214" s="32">
        <f t="shared" si="20"/>
        <v>13</v>
      </c>
      <c r="B214" s="32"/>
      <c r="C214" s="25" t="s">
        <v>537</v>
      </c>
      <c r="D214" s="25" t="s">
        <v>569</v>
      </c>
      <c r="E214" s="25" t="s">
        <v>74</v>
      </c>
      <c r="F214" s="32" t="str">
        <f t="shared" si="21"/>
        <v>Found as per as expectations</v>
      </c>
      <c r="G214" s="32" t="s">
        <v>535</v>
      </c>
      <c r="H214" s="32" t="s">
        <v>543</v>
      </c>
      <c r="I214" s="43"/>
      <c r="J214" s="41"/>
      <c r="K214" s="36" t="s">
        <v>23</v>
      </c>
      <c r="L214" s="41"/>
      <c r="M214" s="25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 spans="1:28" ht="30" customHeight="1" x14ac:dyDescent="0.3">
      <c r="A215" s="32">
        <f t="shared" si="20"/>
        <v>14</v>
      </c>
      <c r="B215" s="32"/>
      <c r="C215" s="25" t="s">
        <v>537</v>
      </c>
      <c r="D215" s="25" t="s">
        <v>570</v>
      </c>
      <c r="E215" s="25" t="s">
        <v>571</v>
      </c>
      <c r="F215" s="32" t="str">
        <f t="shared" si="21"/>
        <v>Found as per as expectations</v>
      </c>
      <c r="G215" s="32" t="s">
        <v>535</v>
      </c>
      <c r="H215" s="32" t="s">
        <v>543</v>
      </c>
      <c r="I215" s="43"/>
      <c r="J215" s="41"/>
      <c r="K215" s="36" t="s">
        <v>23</v>
      </c>
      <c r="L215" s="41"/>
      <c r="M215" s="25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 spans="1:28" ht="30" customHeight="1" x14ac:dyDescent="0.3">
      <c r="A216" s="32">
        <f t="shared" si="20"/>
        <v>15</v>
      </c>
      <c r="B216" s="32"/>
      <c r="C216" s="25" t="s">
        <v>572</v>
      </c>
      <c r="D216" s="25" t="s">
        <v>573</v>
      </c>
      <c r="E216" s="25" t="s">
        <v>574</v>
      </c>
      <c r="F216" s="32" t="str">
        <f t="shared" si="21"/>
        <v>Found as per as expectations</v>
      </c>
      <c r="G216" s="32" t="s">
        <v>535</v>
      </c>
      <c r="H216" s="32" t="s">
        <v>543</v>
      </c>
      <c r="I216" s="24"/>
      <c r="J216" s="45"/>
      <c r="K216" s="46" t="s">
        <v>23</v>
      </c>
      <c r="L216" s="25"/>
      <c r="M216" s="25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 spans="1:28" ht="30" customHeight="1" x14ac:dyDescent="0.3">
      <c r="A217" s="32">
        <f t="shared" si="20"/>
        <v>16</v>
      </c>
      <c r="B217" s="32"/>
      <c r="C217" s="25" t="s">
        <v>572</v>
      </c>
      <c r="D217" s="25" t="s">
        <v>575</v>
      </c>
      <c r="E217" s="25" t="s">
        <v>576</v>
      </c>
      <c r="F217" s="32" t="str">
        <f t="shared" si="21"/>
        <v>Found as per as expectations</v>
      </c>
      <c r="G217" s="32" t="s">
        <v>535</v>
      </c>
      <c r="H217" s="32" t="s">
        <v>543</v>
      </c>
      <c r="I217" s="24"/>
      <c r="J217" s="45"/>
      <c r="K217" s="46" t="s">
        <v>23</v>
      </c>
      <c r="L217" s="25"/>
      <c r="M217" s="25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 spans="1:28" ht="30" customHeight="1" x14ac:dyDescent="0.3">
      <c r="A218" s="32">
        <f t="shared" si="20"/>
        <v>17</v>
      </c>
      <c r="B218" s="32"/>
      <c r="C218" s="25" t="s">
        <v>572</v>
      </c>
      <c r="D218" s="25" t="s">
        <v>577</v>
      </c>
      <c r="E218" s="25" t="s">
        <v>578</v>
      </c>
      <c r="F218" s="32" t="str">
        <f t="shared" si="21"/>
        <v>Found as per as expectations</v>
      </c>
      <c r="G218" s="32" t="s">
        <v>535</v>
      </c>
      <c r="H218" s="32" t="s">
        <v>543</v>
      </c>
      <c r="I218" s="24"/>
      <c r="J218" s="45"/>
      <c r="K218" s="46" t="s">
        <v>23</v>
      </c>
      <c r="L218" s="25"/>
      <c r="M218" s="25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 spans="1:28" ht="30" customHeight="1" x14ac:dyDescent="0.3">
      <c r="A219" s="32">
        <f t="shared" si="20"/>
        <v>18</v>
      </c>
      <c r="B219" s="32"/>
      <c r="C219" s="25" t="s">
        <v>579</v>
      </c>
      <c r="D219" s="25" t="s">
        <v>580</v>
      </c>
      <c r="E219" s="25" t="s">
        <v>581</v>
      </c>
      <c r="F219" s="32" t="str">
        <f t="shared" si="21"/>
        <v>Found as per as expectations</v>
      </c>
      <c r="G219" s="32" t="s">
        <v>535</v>
      </c>
      <c r="H219" s="32" t="s">
        <v>543</v>
      </c>
      <c r="I219" s="44"/>
      <c r="J219" s="45"/>
      <c r="K219" s="46" t="s">
        <v>23</v>
      </c>
      <c r="L219" s="36"/>
      <c r="M219" s="25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 spans="1:28" ht="30" customHeight="1" x14ac:dyDescent="0.3">
      <c r="A220" s="32">
        <f t="shared" si="20"/>
        <v>19</v>
      </c>
      <c r="B220" s="83"/>
      <c r="C220" s="25" t="s">
        <v>582</v>
      </c>
      <c r="D220" s="25" t="s">
        <v>583</v>
      </c>
      <c r="E220" s="25" t="s">
        <v>584</v>
      </c>
      <c r="F220" s="32" t="str">
        <f t="shared" si="21"/>
        <v>Found as per as expectations</v>
      </c>
      <c r="G220" s="32" t="s">
        <v>535</v>
      </c>
      <c r="H220" s="32" t="s">
        <v>543</v>
      </c>
      <c r="I220" s="49"/>
      <c r="J220" s="50"/>
      <c r="K220" s="46" t="s">
        <v>23</v>
      </c>
      <c r="L220" s="25"/>
      <c r="M220" s="25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 spans="1:28" ht="30" customHeight="1" x14ac:dyDescent="0.3">
      <c r="A221" s="32">
        <f t="shared" si="20"/>
        <v>20</v>
      </c>
      <c r="B221" s="32"/>
      <c r="C221" s="25" t="s">
        <v>76</v>
      </c>
      <c r="D221" s="25" t="s">
        <v>583</v>
      </c>
      <c r="E221" s="25" t="s">
        <v>585</v>
      </c>
      <c r="F221" s="32" t="str">
        <f t="shared" si="21"/>
        <v>Found as per as expectations</v>
      </c>
      <c r="G221" s="32" t="s">
        <v>535</v>
      </c>
      <c r="H221" s="32" t="s">
        <v>543</v>
      </c>
      <c r="I221" s="44"/>
      <c r="J221" s="45"/>
      <c r="K221" s="46" t="s">
        <v>23</v>
      </c>
      <c r="L221" s="36"/>
      <c r="M221" s="25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 spans="1:28" ht="30" customHeight="1" x14ac:dyDescent="0.3">
      <c r="A222" s="32">
        <f t="shared" si="20"/>
        <v>21</v>
      </c>
      <c r="B222" s="25"/>
      <c r="C222" s="25" t="s">
        <v>586</v>
      </c>
      <c r="D222" s="25" t="s">
        <v>587</v>
      </c>
      <c r="E222" s="25" t="s">
        <v>588</v>
      </c>
      <c r="F222" s="32" t="str">
        <f t="shared" si="21"/>
        <v>Found as per as expectations</v>
      </c>
      <c r="G222" s="32" t="s">
        <v>535</v>
      </c>
      <c r="H222" s="32" t="s">
        <v>589</v>
      </c>
      <c r="I222" s="54"/>
      <c r="J222" s="41"/>
      <c r="K222" s="36" t="s">
        <v>23</v>
      </c>
      <c r="L222" s="41"/>
      <c r="M222" s="25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 spans="1:28" ht="30" customHeight="1" x14ac:dyDescent="0.3">
      <c r="A223" s="32">
        <f t="shared" si="20"/>
        <v>22</v>
      </c>
      <c r="B223" s="25"/>
      <c r="C223" s="25" t="s">
        <v>586</v>
      </c>
      <c r="D223" s="25" t="s">
        <v>590</v>
      </c>
      <c r="E223" s="25" t="s">
        <v>591</v>
      </c>
      <c r="F223" s="32" t="str">
        <f t="shared" si="21"/>
        <v>Found as per as expectations</v>
      </c>
      <c r="G223" s="32" t="s">
        <v>535</v>
      </c>
      <c r="H223" s="32" t="s">
        <v>589</v>
      </c>
      <c r="I223" s="54"/>
      <c r="J223" s="41"/>
      <c r="K223" s="36" t="s">
        <v>23</v>
      </c>
      <c r="L223" s="41"/>
      <c r="M223" s="25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 spans="1:28" ht="30" customHeight="1" x14ac:dyDescent="0.3">
      <c r="A224" s="32">
        <f t="shared" si="20"/>
        <v>23</v>
      </c>
      <c r="B224" s="25"/>
      <c r="C224" s="25" t="s">
        <v>586</v>
      </c>
      <c r="D224" s="25" t="s">
        <v>592</v>
      </c>
      <c r="E224" s="25" t="s">
        <v>593</v>
      </c>
      <c r="F224" s="32" t="str">
        <f t="shared" si="21"/>
        <v>Found as per as expectations</v>
      </c>
      <c r="G224" s="32" t="s">
        <v>535</v>
      </c>
      <c r="H224" s="32" t="s">
        <v>589</v>
      </c>
      <c r="I224" s="54"/>
      <c r="J224" s="41"/>
      <c r="K224" s="36" t="s">
        <v>23</v>
      </c>
      <c r="L224" s="41"/>
      <c r="M224" s="25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 spans="1:28" ht="30" customHeight="1" x14ac:dyDescent="0.3">
      <c r="A225" s="32">
        <f t="shared" si="20"/>
        <v>24</v>
      </c>
      <c r="B225" s="25"/>
      <c r="C225" s="25" t="s">
        <v>594</v>
      </c>
      <c r="D225" s="25" t="s">
        <v>595</v>
      </c>
      <c r="E225" s="25" t="s">
        <v>596</v>
      </c>
      <c r="F225" s="32" t="str">
        <f t="shared" si="21"/>
        <v>Found not as per as exdpectations</v>
      </c>
      <c r="G225" s="32" t="s">
        <v>597</v>
      </c>
      <c r="H225" s="32" t="s">
        <v>543</v>
      </c>
      <c r="I225" s="24" t="s">
        <v>57</v>
      </c>
      <c r="J225" s="45"/>
      <c r="K225" s="46" t="s">
        <v>58</v>
      </c>
      <c r="L225" s="36"/>
      <c r="M225" s="25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 spans="1:28" ht="30" customHeight="1" x14ac:dyDescent="0.3">
      <c r="A226" s="32">
        <f t="shared" si="20"/>
        <v>25</v>
      </c>
      <c r="B226" s="53" t="s">
        <v>520</v>
      </c>
      <c r="C226" s="25" t="s">
        <v>598</v>
      </c>
      <c r="D226" s="25" t="s">
        <v>599</v>
      </c>
      <c r="E226" s="25" t="s">
        <v>600</v>
      </c>
      <c r="F226" s="32" t="str">
        <f t="shared" si="21"/>
        <v>Found as per as expectations</v>
      </c>
      <c r="G226" s="32" t="s">
        <v>535</v>
      </c>
      <c r="H226" s="32" t="s">
        <v>543</v>
      </c>
      <c r="I226" s="24"/>
      <c r="J226" s="45"/>
      <c r="K226" s="46" t="s">
        <v>23</v>
      </c>
      <c r="L226" s="36"/>
      <c r="M226" s="25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 spans="1:28" ht="30" customHeight="1" x14ac:dyDescent="0.3">
      <c r="A227" s="32">
        <f t="shared" si="20"/>
        <v>26</v>
      </c>
      <c r="B227" s="53" t="s">
        <v>601</v>
      </c>
      <c r="C227" s="25" t="s">
        <v>572</v>
      </c>
      <c r="D227" s="25" t="s">
        <v>602</v>
      </c>
      <c r="E227" s="25" t="s">
        <v>603</v>
      </c>
      <c r="F227" s="32" t="str">
        <f t="shared" si="21"/>
        <v>Found as per as expectations</v>
      </c>
      <c r="G227" s="32" t="s">
        <v>604</v>
      </c>
      <c r="H227" s="32" t="s">
        <v>543</v>
      </c>
      <c r="I227" s="44"/>
      <c r="J227" s="45"/>
      <c r="K227" s="46" t="s">
        <v>23</v>
      </c>
      <c r="L227" s="36"/>
      <c r="M227" s="25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 spans="1:28" ht="30" customHeight="1" x14ac:dyDescent="0.3">
      <c r="A228" s="55" t="s">
        <v>605</v>
      </c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2"/>
    </row>
    <row r="229" spans="1:28" ht="30" customHeight="1" x14ac:dyDescent="0.3">
      <c r="A229" s="32">
        <f t="shared" ref="A229:A247" si="22">ROW()-228</f>
        <v>1</v>
      </c>
      <c r="B229" s="33" t="s">
        <v>17</v>
      </c>
      <c r="C229" s="28" t="s">
        <v>606</v>
      </c>
      <c r="D229" s="28" t="s">
        <v>607</v>
      </c>
      <c r="E229" s="28" t="s">
        <v>608</v>
      </c>
      <c r="F229" s="32" t="str">
        <f t="shared" ref="F229:F247" si="23">IF(K229="Passed","Found as per as expectations","Found not as per as exdpectations")</f>
        <v>Found as per as expectations</v>
      </c>
      <c r="G229" s="32" t="s">
        <v>535</v>
      </c>
      <c r="H229" s="32" t="s">
        <v>609</v>
      </c>
      <c r="I229" s="35"/>
      <c r="J229" s="33"/>
      <c r="K229" s="36" t="s">
        <v>23</v>
      </c>
      <c r="L229" s="33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 spans="1:28" ht="30" customHeight="1" x14ac:dyDescent="0.3">
      <c r="A230" s="32">
        <f t="shared" si="22"/>
        <v>2</v>
      </c>
      <c r="B230" s="32"/>
      <c r="C230" s="25" t="s">
        <v>610</v>
      </c>
      <c r="D230" s="25" t="s">
        <v>541</v>
      </c>
      <c r="E230" s="25" t="s">
        <v>542</v>
      </c>
      <c r="F230" s="32" t="str">
        <f t="shared" si="23"/>
        <v>Found as per as expectations</v>
      </c>
      <c r="G230" s="32" t="s">
        <v>535</v>
      </c>
      <c r="H230" s="32" t="s">
        <v>609</v>
      </c>
      <c r="I230" s="38"/>
      <c r="J230" s="39"/>
      <c r="K230" s="36" t="s">
        <v>23</v>
      </c>
      <c r="L230" s="40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 spans="1:28" ht="30" customHeight="1" x14ac:dyDescent="0.3">
      <c r="A231" s="32">
        <f t="shared" si="22"/>
        <v>3</v>
      </c>
      <c r="B231" s="32"/>
      <c r="C231" s="25" t="s">
        <v>611</v>
      </c>
      <c r="D231" s="25" t="s">
        <v>545</v>
      </c>
      <c r="E231" s="25" t="s">
        <v>546</v>
      </c>
      <c r="F231" s="32" t="str">
        <f t="shared" si="23"/>
        <v>Found as per as expectations</v>
      </c>
      <c r="G231" s="32" t="s">
        <v>535</v>
      </c>
      <c r="H231" s="32" t="s">
        <v>609</v>
      </c>
      <c r="I231" s="35"/>
      <c r="J231" s="40"/>
      <c r="K231" s="36" t="s">
        <v>23</v>
      </c>
      <c r="L231" s="40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 spans="1:28" ht="30" customHeight="1" x14ac:dyDescent="0.3">
      <c r="A232" s="32">
        <f t="shared" si="22"/>
        <v>4</v>
      </c>
      <c r="B232" s="32"/>
      <c r="C232" s="25" t="s">
        <v>547</v>
      </c>
      <c r="D232" s="25" t="s">
        <v>548</v>
      </c>
      <c r="E232" s="25" t="s">
        <v>549</v>
      </c>
      <c r="F232" s="32" t="str">
        <f t="shared" si="23"/>
        <v>Found as per as expectations</v>
      </c>
      <c r="G232" s="32" t="s">
        <v>535</v>
      </c>
      <c r="H232" s="32" t="s">
        <v>609</v>
      </c>
      <c r="I232" s="35"/>
      <c r="J232" s="40"/>
      <c r="K232" s="36" t="s">
        <v>23</v>
      </c>
      <c r="L232" s="40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 spans="1:28" ht="30" customHeight="1" x14ac:dyDescent="0.3">
      <c r="A233" s="32">
        <f t="shared" si="22"/>
        <v>5</v>
      </c>
      <c r="B233" s="32"/>
      <c r="C233" s="25" t="s">
        <v>550</v>
      </c>
      <c r="D233" s="25" t="s">
        <v>551</v>
      </c>
      <c r="E233" s="25" t="s">
        <v>552</v>
      </c>
      <c r="F233" s="32" t="str">
        <f t="shared" si="23"/>
        <v>Found as per as expectations</v>
      </c>
      <c r="G233" s="32" t="s">
        <v>535</v>
      </c>
      <c r="H233" s="32" t="s">
        <v>609</v>
      </c>
      <c r="I233" s="35"/>
      <c r="J233" s="40"/>
      <c r="K233" s="36" t="s">
        <v>23</v>
      </c>
      <c r="L233" s="40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 spans="1:28" ht="30" customHeight="1" x14ac:dyDescent="0.3">
      <c r="A234" s="32">
        <f t="shared" si="22"/>
        <v>6</v>
      </c>
      <c r="B234" s="32"/>
      <c r="C234" s="25" t="s">
        <v>556</v>
      </c>
      <c r="D234" s="25" t="s">
        <v>557</v>
      </c>
      <c r="E234" s="25" t="s">
        <v>558</v>
      </c>
      <c r="F234" s="32" t="str">
        <f t="shared" si="23"/>
        <v>Found as per as expectations</v>
      </c>
      <c r="G234" s="32" t="s">
        <v>535</v>
      </c>
      <c r="H234" s="32" t="s">
        <v>609</v>
      </c>
      <c r="I234" s="35"/>
      <c r="J234" s="40"/>
      <c r="K234" s="36" t="s">
        <v>23</v>
      </c>
      <c r="L234" s="40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 spans="1:28" ht="30" customHeight="1" x14ac:dyDescent="0.3">
      <c r="A235" s="32">
        <f t="shared" si="22"/>
        <v>7</v>
      </c>
      <c r="B235" s="32"/>
      <c r="C235" s="28" t="s">
        <v>612</v>
      </c>
      <c r="D235" s="28" t="s">
        <v>613</v>
      </c>
      <c r="E235" s="28" t="s">
        <v>614</v>
      </c>
      <c r="F235" s="32" t="str">
        <f t="shared" si="23"/>
        <v>Found as per as expectations</v>
      </c>
      <c r="G235" s="32" t="s">
        <v>535</v>
      </c>
      <c r="H235" s="32" t="s">
        <v>609</v>
      </c>
      <c r="I235" s="35"/>
      <c r="J235" s="40"/>
      <c r="K235" s="36" t="s">
        <v>23</v>
      </c>
      <c r="L235" s="40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 spans="1:28" ht="30" customHeight="1" x14ac:dyDescent="0.3">
      <c r="A236" s="32">
        <f t="shared" si="22"/>
        <v>8</v>
      </c>
      <c r="B236" s="32"/>
      <c r="C236" s="25" t="s">
        <v>210</v>
      </c>
      <c r="D236" s="25" t="s">
        <v>211</v>
      </c>
      <c r="E236" s="25" t="s">
        <v>212</v>
      </c>
      <c r="F236" s="32" t="str">
        <f t="shared" si="23"/>
        <v>Found as per as expectations</v>
      </c>
      <c r="G236" s="32" t="s">
        <v>535</v>
      </c>
      <c r="H236" s="32" t="s">
        <v>609</v>
      </c>
      <c r="I236" s="43"/>
      <c r="J236" s="41"/>
      <c r="K236" s="36" t="s">
        <v>23</v>
      </c>
      <c r="L236" s="41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 spans="1:28" ht="30" customHeight="1" x14ac:dyDescent="0.3">
      <c r="A237" s="32">
        <f t="shared" si="22"/>
        <v>9</v>
      </c>
      <c r="B237" s="53" t="s">
        <v>71</v>
      </c>
      <c r="C237" s="28" t="s">
        <v>615</v>
      </c>
      <c r="D237" s="28" t="s">
        <v>616</v>
      </c>
      <c r="E237" s="28" t="s">
        <v>415</v>
      </c>
      <c r="F237" s="32" t="str">
        <f t="shared" si="23"/>
        <v>Found not as per as exdpectations</v>
      </c>
      <c r="G237" s="32" t="s">
        <v>565</v>
      </c>
      <c r="H237" s="32" t="s">
        <v>609</v>
      </c>
      <c r="I237" s="65" t="s">
        <v>57</v>
      </c>
      <c r="J237" s="41"/>
      <c r="K237" s="36" t="s">
        <v>58</v>
      </c>
      <c r="L237" s="41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 spans="1:28" ht="30" customHeight="1" x14ac:dyDescent="0.3">
      <c r="A238" s="32">
        <f t="shared" si="22"/>
        <v>10</v>
      </c>
      <c r="B238" s="32"/>
      <c r="C238" s="28" t="s">
        <v>617</v>
      </c>
      <c r="D238" s="28" t="s">
        <v>618</v>
      </c>
      <c r="E238" s="28" t="s">
        <v>619</v>
      </c>
      <c r="F238" s="32" t="str">
        <f t="shared" si="23"/>
        <v>Found as per as expectations</v>
      </c>
      <c r="G238" s="32" t="s">
        <v>535</v>
      </c>
      <c r="H238" s="32" t="s">
        <v>609</v>
      </c>
      <c r="I238" s="65"/>
      <c r="J238" s="41"/>
      <c r="K238" s="36" t="s">
        <v>23</v>
      </c>
      <c r="L238" s="41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 spans="1:28" ht="30" customHeight="1" x14ac:dyDescent="0.3">
      <c r="A239" s="32">
        <f t="shared" si="22"/>
        <v>11</v>
      </c>
      <c r="B239" s="32"/>
      <c r="C239" s="28" t="s">
        <v>620</v>
      </c>
      <c r="D239" s="28" t="s">
        <v>621</v>
      </c>
      <c r="E239" s="28" t="s">
        <v>622</v>
      </c>
      <c r="F239" s="32" t="str">
        <f t="shared" si="23"/>
        <v>Found as per as expectations</v>
      </c>
      <c r="G239" s="32" t="s">
        <v>535</v>
      </c>
      <c r="H239" s="32" t="s">
        <v>609</v>
      </c>
      <c r="I239" s="65"/>
      <c r="J239" s="41"/>
      <c r="K239" s="36" t="s">
        <v>23</v>
      </c>
      <c r="L239" s="41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 spans="1:28" ht="30" customHeight="1" x14ac:dyDescent="0.3">
      <c r="A240" s="32">
        <f t="shared" si="22"/>
        <v>12</v>
      </c>
      <c r="B240" s="32"/>
      <c r="C240" s="28" t="s">
        <v>623</v>
      </c>
      <c r="D240" s="28" t="s">
        <v>624</v>
      </c>
      <c r="E240" s="28" t="s">
        <v>625</v>
      </c>
      <c r="F240" s="32" t="str">
        <f t="shared" si="23"/>
        <v>Found as per as expectations</v>
      </c>
      <c r="G240" s="32" t="s">
        <v>535</v>
      </c>
      <c r="H240" s="32" t="s">
        <v>609</v>
      </c>
      <c r="I240" s="43"/>
      <c r="J240" s="41"/>
      <c r="K240" s="36" t="s">
        <v>23</v>
      </c>
      <c r="L240" s="41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 spans="1:28" ht="30" customHeight="1" x14ac:dyDescent="0.3">
      <c r="A241" s="32">
        <f t="shared" si="22"/>
        <v>13</v>
      </c>
      <c r="B241" s="32"/>
      <c r="C241" s="28" t="s">
        <v>626</v>
      </c>
      <c r="D241" s="28" t="s">
        <v>627</v>
      </c>
      <c r="E241" s="28" t="s">
        <v>628</v>
      </c>
      <c r="F241" s="32" t="str">
        <f t="shared" si="23"/>
        <v>Found as per as expectations</v>
      </c>
      <c r="G241" s="32" t="s">
        <v>535</v>
      </c>
      <c r="H241" s="32" t="s">
        <v>609</v>
      </c>
      <c r="I241" s="24"/>
      <c r="J241" s="45"/>
      <c r="K241" s="46" t="s">
        <v>23</v>
      </c>
      <c r="L241" s="25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 spans="1:28" ht="30" customHeight="1" x14ac:dyDescent="0.3">
      <c r="A242" s="32">
        <f t="shared" si="22"/>
        <v>14</v>
      </c>
      <c r="B242" s="32"/>
      <c r="C242" s="28" t="s">
        <v>629</v>
      </c>
      <c r="D242" s="28" t="s">
        <v>630</v>
      </c>
      <c r="E242" s="28" t="s">
        <v>631</v>
      </c>
      <c r="F242" s="32" t="str">
        <f t="shared" si="23"/>
        <v>Found as per as expectations</v>
      </c>
      <c r="G242" s="32" t="s">
        <v>535</v>
      </c>
      <c r="H242" s="32" t="s">
        <v>609</v>
      </c>
      <c r="I242" s="24"/>
      <c r="J242" s="45"/>
      <c r="K242" s="46" t="s">
        <v>23</v>
      </c>
      <c r="L242" s="25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 spans="1:28" ht="30" customHeight="1" x14ac:dyDescent="0.3">
      <c r="A243" s="32">
        <f t="shared" si="22"/>
        <v>15</v>
      </c>
      <c r="B243" s="32"/>
      <c r="C243" s="28" t="s">
        <v>632</v>
      </c>
      <c r="D243" s="28" t="s">
        <v>633</v>
      </c>
      <c r="E243" s="28" t="s">
        <v>634</v>
      </c>
      <c r="F243" s="32" t="str">
        <f t="shared" si="23"/>
        <v>Found as per as expectations</v>
      </c>
      <c r="G243" s="32" t="s">
        <v>535</v>
      </c>
      <c r="H243" s="32" t="s">
        <v>609</v>
      </c>
      <c r="I243" s="44"/>
      <c r="J243" s="45"/>
      <c r="K243" s="46" t="s">
        <v>23</v>
      </c>
      <c r="L243" s="36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 spans="1:28" ht="30" customHeight="1" x14ac:dyDescent="0.3">
      <c r="A244" s="32">
        <f t="shared" si="22"/>
        <v>16</v>
      </c>
      <c r="B244" s="83"/>
      <c r="C244" s="28" t="s">
        <v>635</v>
      </c>
      <c r="D244" s="28" t="s">
        <v>636</v>
      </c>
      <c r="E244" s="28" t="s">
        <v>637</v>
      </c>
      <c r="F244" s="32" t="str">
        <f t="shared" si="23"/>
        <v>Found as per as expectations</v>
      </c>
      <c r="G244" s="32" t="s">
        <v>535</v>
      </c>
      <c r="H244" s="32" t="s">
        <v>609</v>
      </c>
      <c r="I244" s="49"/>
      <c r="J244" s="50"/>
      <c r="K244" s="46" t="s">
        <v>23</v>
      </c>
      <c r="L244" s="25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 spans="1:28" ht="30" customHeight="1" x14ac:dyDescent="0.3">
      <c r="A245" s="32">
        <f t="shared" si="22"/>
        <v>17</v>
      </c>
      <c r="B245" s="32"/>
      <c r="C245" s="28" t="s">
        <v>638</v>
      </c>
      <c r="D245" s="28" t="s">
        <v>639</v>
      </c>
      <c r="E245" s="28" t="s">
        <v>640</v>
      </c>
      <c r="F245" s="32" t="str">
        <f t="shared" si="23"/>
        <v>Found as per as expectations</v>
      </c>
      <c r="G245" s="32" t="s">
        <v>535</v>
      </c>
      <c r="H245" s="32" t="s">
        <v>609</v>
      </c>
      <c r="I245" s="44"/>
      <c r="J245" s="45"/>
      <c r="K245" s="46" t="s">
        <v>23</v>
      </c>
      <c r="L245" s="36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 spans="1:28" ht="30" customHeight="1" x14ac:dyDescent="0.3">
      <c r="A246" s="32">
        <f t="shared" si="22"/>
        <v>18</v>
      </c>
      <c r="B246" s="25" t="s">
        <v>601</v>
      </c>
      <c r="C246" s="25" t="s">
        <v>572</v>
      </c>
      <c r="D246" s="25" t="s">
        <v>602</v>
      </c>
      <c r="E246" s="25" t="s">
        <v>603</v>
      </c>
      <c r="F246" s="32" t="str">
        <f t="shared" si="23"/>
        <v>Found as per as expectations</v>
      </c>
      <c r="G246" s="32" t="s">
        <v>604</v>
      </c>
      <c r="H246" s="32" t="s">
        <v>609</v>
      </c>
      <c r="I246" s="44"/>
      <c r="J246" s="45"/>
      <c r="K246" s="46" t="s">
        <v>23</v>
      </c>
      <c r="L246" s="36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 spans="1:28" ht="30" customHeight="1" x14ac:dyDescent="0.3">
      <c r="A247" s="32">
        <f t="shared" si="22"/>
        <v>19</v>
      </c>
      <c r="B247" s="32" t="s">
        <v>248</v>
      </c>
      <c r="C247" s="28" t="s">
        <v>641</v>
      </c>
      <c r="D247" s="28" t="s">
        <v>642</v>
      </c>
      <c r="E247" s="28" t="s">
        <v>643</v>
      </c>
      <c r="F247" s="32" t="str">
        <f t="shared" si="23"/>
        <v>Found not as per as exdpectations</v>
      </c>
      <c r="G247" s="32" t="s">
        <v>535</v>
      </c>
      <c r="H247" s="32" t="s">
        <v>609</v>
      </c>
      <c r="I247" s="65" t="s">
        <v>57</v>
      </c>
      <c r="J247" s="41"/>
      <c r="K247" s="36" t="s">
        <v>58</v>
      </c>
      <c r="L247" s="41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 spans="1:28" ht="30" customHeight="1" x14ac:dyDescent="0.3">
      <c r="A248" s="55" t="s">
        <v>644</v>
      </c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72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 spans="1:28" ht="30" customHeight="1" x14ac:dyDescent="0.3">
      <c r="A249" s="32">
        <f t="shared" ref="A249:A284" si="24">ROW()-248</f>
        <v>1</v>
      </c>
      <c r="B249" s="73" t="s">
        <v>17</v>
      </c>
      <c r="C249" s="28" t="s">
        <v>606</v>
      </c>
      <c r="D249" s="28" t="s">
        <v>607</v>
      </c>
      <c r="E249" s="28" t="s">
        <v>608</v>
      </c>
      <c r="F249" s="32" t="str">
        <f t="shared" ref="F249:F284" si="25">IF(K249="Passed","Found as per as expectations","Found not as per as exdpectations")</f>
        <v>Found as per as expectations</v>
      </c>
      <c r="G249" s="32" t="s">
        <v>21</v>
      </c>
      <c r="H249" s="32" t="s">
        <v>645</v>
      </c>
      <c r="I249" s="35"/>
      <c r="J249" s="33"/>
      <c r="K249" s="36" t="s">
        <v>23</v>
      </c>
      <c r="L249" s="25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 spans="1:28" ht="30" customHeight="1" x14ac:dyDescent="0.3">
      <c r="A250" s="32">
        <f t="shared" si="24"/>
        <v>2</v>
      </c>
      <c r="B250" s="32"/>
      <c r="C250" s="25" t="s">
        <v>610</v>
      </c>
      <c r="D250" s="25" t="s">
        <v>541</v>
      </c>
      <c r="E250" s="25" t="s">
        <v>542</v>
      </c>
      <c r="F250" s="32" t="str">
        <f t="shared" si="25"/>
        <v>Found as per as expectations</v>
      </c>
      <c r="G250" s="32" t="s">
        <v>21</v>
      </c>
      <c r="H250" s="32" t="s">
        <v>645</v>
      </c>
      <c r="I250" s="38"/>
      <c r="J250" s="39"/>
      <c r="K250" s="36" t="s">
        <v>23</v>
      </c>
      <c r="L250" s="25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 spans="1:28" ht="30" customHeight="1" x14ac:dyDescent="0.3">
      <c r="A251" s="32">
        <f t="shared" si="24"/>
        <v>3</v>
      </c>
      <c r="B251" s="32"/>
      <c r="C251" s="25" t="s">
        <v>611</v>
      </c>
      <c r="D251" s="25" t="s">
        <v>545</v>
      </c>
      <c r="E251" s="25" t="s">
        <v>546</v>
      </c>
      <c r="F251" s="32" t="str">
        <f t="shared" si="25"/>
        <v>Found as per as expectations</v>
      </c>
      <c r="G251" s="32" t="s">
        <v>21</v>
      </c>
      <c r="H251" s="32" t="s">
        <v>645</v>
      </c>
      <c r="I251" s="35"/>
      <c r="J251" s="40"/>
      <c r="K251" s="36" t="s">
        <v>23</v>
      </c>
      <c r="L251" s="25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 spans="1:28" ht="30" customHeight="1" x14ac:dyDescent="0.3">
      <c r="A252" s="32">
        <f t="shared" si="24"/>
        <v>4</v>
      </c>
      <c r="B252" s="32"/>
      <c r="C252" s="25" t="s">
        <v>547</v>
      </c>
      <c r="D252" s="25" t="s">
        <v>548</v>
      </c>
      <c r="E252" s="25" t="s">
        <v>549</v>
      </c>
      <c r="F252" s="32" t="str">
        <f t="shared" si="25"/>
        <v>Found as per as expectations</v>
      </c>
      <c r="G252" s="32" t="s">
        <v>21</v>
      </c>
      <c r="H252" s="32" t="s">
        <v>645</v>
      </c>
      <c r="I252" s="35"/>
      <c r="J252" s="40"/>
      <c r="K252" s="36" t="s">
        <v>23</v>
      </c>
      <c r="L252" s="25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 spans="1:28" ht="30" customHeight="1" x14ac:dyDescent="0.3">
      <c r="A253" s="32">
        <f t="shared" si="24"/>
        <v>5</v>
      </c>
      <c r="B253" s="32"/>
      <c r="C253" s="25" t="s">
        <v>550</v>
      </c>
      <c r="D253" s="25" t="s">
        <v>551</v>
      </c>
      <c r="E253" s="25" t="s">
        <v>552</v>
      </c>
      <c r="F253" s="32" t="str">
        <f t="shared" si="25"/>
        <v>Found as per as expectations</v>
      </c>
      <c r="G253" s="32" t="s">
        <v>21</v>
      </c>
      <c r="H253" s="32" t="s">
        <v>645</v>
      </c>
      <c r="I253" s="35"/>
      <c r="J253" s="40"/>
      <c r="K253" s="36" t="s">
        <v>23</v>
      </c>
      <c r="L253" s="25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 spans="1:28" ht="30" customHeight="1" x14ac:dyDescent="0.3">
      <c r="A254" s="32">
        <f t="shared" si="24"/>
        <v>6</v>
      </c>
      <c r="B254" s="32"/>
      <c r="C254" s="28" t="s">
        <v>646</v>
      </c>
      <c r="D254" s="28" t="s">
        <v>647</v>
      </c>
      <c r="E254" s="28" t="s">
        <v>648</v>
      </c>
      <c r="F254" s="32" t="str">
        <f t="shared" si="25"/>
        <v>Found as per as expectations</v>
      </c>
      <c r="G254" s="32" t="s">
        <v>21</v>
      </c>
      <c r="H254" s="32" t="s">
        <v>645</v>
      </c>
      <c r="I254" s="35"/>
      <c r="J254" s="40"/>
      <c r="K254" s="36" t="s">
        <v>23</v>
      </c>
      <c r="L254" s="25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 spans="1:28" ht="30" customHeight="1" x14ac:dyDescent="0.3">
      <c r="A255" s="32">
        <f t="shared" si="24"/>
        <v>7</v>
      </c>
      <c r="B255" s="32"/>
      <c r="C255" s="25" t="s">
        <v>556</v>
      </c>
      <c r="D255" s="25" t="s">
        <v>557</v>
      </c>
      <c r="E255" s="25" t="s">
        <v>558</v>
      </c>
      <c r="F255" s="32" t="str">
        <f t="shared" si="25"/>
        <v>Found as per as expectations</v>
      </c>
      <c r="G255" s="32" t="s">
        <v>21</v>
      </c>
      <c r="H255" s="32" t="s">
        <v>645</v>
      </c>
      <c r="I255" s="35"/>
      <c r="J255" s="40"/>
      <c r="K255" s="36" t="s">
        <v>23</v>
      </c>
      <c r="L255" s="25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 spans="1:28" ht="30" customHeight="1" x14ac:dyDescent="0.3">
      <c r="A256" s="32">
        <f t="shared" si="24"/>
        <v>8</v>
      </c>
      <c r="B256" s="32"/>
      <c r="C256" s="28" t="s">
        <v>612</v>
      </c>
      <c r="D256" s="28" t="s">
        <v>613</v>
      </c>
      <c r="E256" s="28" t="s">
        <v>614</v>
      </c>
      <c r="F256" s="32" t="str">
        <f t="shared" si="25"/>
        <v>Found as per as expectations</v>
      </c>
      <c r="G256" s="32" t="s">
        <v>21</v>
      </c>
      <c r="H256" s="32" t="s">
        <v>645</v>
      </c>
      <c r="I256" s="35"/>
      <c r="J256" s="40"/>
      <c r="K256" s="36" t="s">
        <v>23</v>
      </c>
      <c r="L256" s="25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 spans="1:28" ht="30" customHeight="1" x14ac:dyDescent="0.3">
      <c r="A257" s="32">
        <f t="shared" si="24"/>
        <v>9</v>
      </c>
      <c r="B257" s="32"/>
      <c r="C257" s="28" t="s">
        <v>649</v>
      </c>
      <c r="D257" s="28" t="s">
        <v>650</v>
      </c>
      <c r="E257" s="28" t="s">
        <v>651</v>
      </c>
      <c r="F257" s="32" t="str">
        <f t="shared" si="25"/>
        <v>Found as per as expectations</v>
      </c>
      <c r="G257" s="32" t="s">
        <v>21</v>
      </c>
      <c r="H257" s="32" t="s">
        <v>645</v>
      </c>
      <c r="I257" s="35"/>
      <c r="J257" s="40"/>
      <c r="K257" s="36" t="s">
        <v>23</v>
      </c>
      <c r="L257" s="25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 spans="1:28" ht="30" customHeight="1" x14ac:dyDescent="0.3">
      <c r="A258" s="32">
        <f t="shared" si="24"/>
        <v>10</v>
      </c>
      <c r="B258" s="32"/>
      <c r="C258" s="28" t="s">
        <v>652</v>
      </c>
      <c r="D258" s="28" t="s">
        <v>653</v>
      </c>
      <c r="E258" s="28" t="s">
        <v>654</v>
      </c>
      <c r="F258" s="32" t="str">
        <f t="shared" si="25"/>
        <v>Found as per as expectations</v>
      </c>
      <c r="G258" s="32" t="s">
        <v>21</v>
      </c>
      <c r="H258" s="32" t="s">
        <v>645</v>
      </c>
      <c r="I258" s="35"/>
      <c r="J258" s="40"/>
      <c r="K258" s="36" t="s">
        <v>23</v>
      </c>
      <c r="L258" s="25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 spans="1:28" ht="30" customHeight="1" x14ac:dyDescent="0.3">
      <c r="A259" s="32">
        <f t="shared" si="24"/>
        <v>11</v>
      </c>
      <c r="B259" s="32"/>
      <c r="C259" s="28" t="s">
        <v>655</v>
      </c>
      <c r="D259" s="28" t="s">
        <v>656</v>
      </c>
      <c r="E259" s="28" t="s">
        <v>657</v>
      </c>
      <c r="F259" s="32" t="str">
        <f t="shared" si="25"/>
        <v>Found as per as expectations</v>
      </c>
      <c r="G259" s="32" t="s">
        <v>21</v>
      </c>
      <c r="H259" s="32" t="s">
        <v>645</v>
      </c>
      <c r="I259" s="35"/>
      <c r="J259" s="40"/>
      <c r="K259" s="36" t="s">
        <v>23</v>
      </c>
      <c r="L259" s="25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 spans="1:28" ht="30" customHeight="1" x14ac:dyDescent="0.3">
      <c r="A260" s="32">
        <f t="shared" si="24"/>
        <v>12</v>
      </c>
      <c r="B260" s="32"/>
      <c r="C260" s="25" t="s">
        <v>210</v>
      </c>
      <c r="D260" s="25" t="s">
        <v>211</v>
      </c>
      <c r="E260" s="25" t="s">
        <v>212</v>
      </c>
      <c r="F260" s="32" t="str">
        <f t="shared" si="25"/>
        <v>Found as per as expectations</v>
      </c>
      <c r="G260" s="32" t="s">
        <v>21</v>
      </c>
      <c r="H260" s="32" t="s">
        <v>645</v>
      </c>
      <c r="I260" s="43"/>
      <c r="J260" s="41"/>
      <c r="K260" s="36" t="s">
        <v>23</v>
      </c>
      <c r="L260" s="25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 spans="1:28" ht="30" customHeight="1" x14ac:dyDescent="0.3">
      <c r="A261" s="32">
        <f t="shared" si="24"/>
        <v>13</v>
      </c>
      <c r="B261" s="53" t="s">
        <v>71</v>
      </c>
      <c r="C261" s="28" t="s">
        <v>649</v>
      </c>
      <c r="D261" s="28" t="s">
        <v>658</v>
      </c>
      <c r="E261" s="28" t="s">
        <v>659</v>
      </c>
      <c r="F261" s="32" t="str">
        <f t="shared" si="25"/>
        <v>Found as per as expectations</v>
      </c>
      <c r="G261" s="32" t="s">
        <v>21</v>
      </c>
      <c r="H261" s="32" t="s">
        <v>645</v>
      </c>
      <c r="I261" s="65"/>
      <c r="J261" s="41"/>
      <c r="K261" s="36" t="s">
        <v>23</v>
      </c>
      <c r="L261" s="25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 spans="1:28" ht="30" customHeight="1" x14ac:dyDescent="0.3">
      <c r="A262" s="32">
        <f t="shared" si="24"/>
        <v>14</v>
      </c>
      <c r="B262" s="32"/>
      <c r="C262" s="28" t="s">
        <v>660</v>
      </c>
      <c r="D262" s="28" t="s">
        <v>661</v>
      </c>
      <c r="E262" s="28" t="s">
        <v>662</v>
      </c>
      <c r="F262" s="32" t="str">
        <f t="shared" si="25"/>
        <v>Found as per as expectations</v>
      </c>
      <c r="G262" s="32" t="s">
        <v>21</v>
      </c>
      <c r="H262" s="32" t="s">
        <v>645</v>
      </c>
      <c r="I262" s="65"/>
      <c r="J262" s="41"/>
      <c r="K262" s="36" t="s">
        <v>23</v>
      </c>
      <c r="L262" s="25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 spans="1:28" ht="30" customHeight="1" x14ac:dyDescent="0.3">
      <c r="A263" s="32">
        <f t="shared" si="24"/>
        <v>15</v>
      </c>
      <c r="B263" s="32"/>
      <c r="C263" s="28" t="s">
        <v>660</v>
      </c>
      <c r="D263" s="28" t="s">
        <v>663</v>
      </c>
      <c r="E263" s="28" t="s">
        <v>664</v>
      </c>
      <c r="F263" s="32" t="str">
        <f t="shared" si="25"/>
        <v>Found as per as expectations</v>
      </c>
      <c r="G263" s="32" t="s">
        <v>21</v>
      </c>
      <c r="H263" s="32" t="s">
        <v>645</v>
      </c>
      <c r="I263" s="65"/>
      <c r="J263" s="41"/>
      <c r="K263" s="36" t="s">
        <v>23</v>
      </c>
      <c r="L263" s="25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 spans="1:28" ht="30" customHeight="1" x14ac:dyDescent="0.3">
      <c r="A264" s="32">
        <f t="shared" si="24"/>
        <v>16</v>
      </c>
      <c r="B264" s="32"/>
      <c r="C264" s="28" t="s">
        <v>660</v>
      </c>
      <c r="D264" s="28" t="s">
        <v>665</v>
      </c>
      <c r="E264" s="28" t="s">
        <v>666</v>
      </c>
      <c r="F264" s="32" t="str">
        <f t="shared" si="25"/>
        <v>Found as per as expectations</v>
      </c>
      <c r="G264" s="32" t="s">
        <v>21</v>
      </c>
      <c r="H264" s="32" t="s">
        <v>645</v>
      </c>
      <c r="I264" s="43"/>
      <c r="J264" s="41"/>
      <c r="K264" s="36" t="s">
        <v>23</v>
      </c>
      <c r="L264" s="25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 spans="1:28" ht="30" customHeight="1" x14ac:dyDescent="0.3">
      <c r="A265" s="32">
        <f t="shared" si="24"/>
        <v>17</v>
      </c>
      <c r="B265" s="32"/>
      <c r="C265" s="28" t="s">
        <v>660</v>
      </c>
      <c r="D265" s="28" t="s">
        <v>667</v>
      </c>
      <c r="E265" s="28" t="s">
        <v>668</v>
      </c>
      <c r="F265" s="32" t="str">
        <f t="shared" si="25"/>
        <v>Found as per as expectations</v>
      </c>
      <c r="G265" s="32" t="s">
        <v>21</v>
      </c>
      <c r="H265" s="32" t="s">
        <v>645</v>
      </c>
      <c r="I265" s="24"/>
      <c r="J265" s="45"/>
      <c r="K265" s="36" t="s">
        <v>23</v>
      </c>
      <c r="L265" s="25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 spans="1:28" ht="30" customHeight="1" x14ac:dyDescent="0.3">
      <c r="A266" s="32">
        <f t="shared" si="24"/>
        <v>18</v>
      </c>
      <c r="B266" s="32"/>
      <c r="C266" s="28" t="s">
        <v>669</v>
      </c>
      <c r="D266" s="28" t="s">
        <v>670</v>
      </c>
      <c r="E266" s="28" t="s">
        <v>671</v>
      </c>
      <c r="F266" s="32" t="str">
        <f t="shared" si="25"/>
        <v>Found as per as expectations</v>
      </c>
      <c r="G266" s="32" t="s">
        <v>21</v>
      </c>
      <c r="H266" s="32" t="s">
        <v>645</v>
      </c>
      <c r="I266" s="24"/>
      <c r="J266" s="45"/>
      <c r="K266" s="36" t="s">
        <v>23</v>
      </c>
      <c r="L266" s="25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 spans="1:28" ht="30" customHeight="1" x14ac:dyDescent="0.3">
      <c r="A267" s="32">
        <f t="shared" si="24"/>
        <v>19</v>
      </c>
      <c r="B267" s="32"/>
      <c r="C267" s="28" t="s">
        <v>672</v>
      </c>
      <c r="D267" s="28" t="s">
        <v>673</v>
      </c>
      <c r="E267" s="28" t="s">
        <v>674</v>
      </c>
      <c r="F267" s="32" t="str">
        <f t="shared" si="25"/>
        <v>Found as per as expectations</v>
      </c>
      <c r="G267" s="32" t="s">
        <v>21</v>
      </c>
      <c r="H267" s="32" t="s">
        <v>645</v>
      </c>
      <c r="I267" s="44"/>
      <c r="J267" s="45"/>
      <c r="K267" s="36" t="s">
        <v>23</v>
      </c>
      <c r="L267" s="25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 spans="1:28" ht="30" customHeight="1" x14ac:dyDescent="0.3">
      <c r="A268" s="32">
        <f t="shared" si="24"/>
        <v>20</v>
      </c>
      <c r="B268" s="83"/>
      <c r="C268" s="28" t="s">
        <v>672</v>
      </c>
      <c r="D268" s="28" t="s">
        <v>675</v>
      </c>
      <c r="E268" s="28" t="s">
        <v>676</v>
      </c>
      <c r="F268" s="32" t="str">
        <f t="shared" si="25"/>
        <v>Found as per as expectations</v>
      </c>
      <c r="G268" s="32" t="s">
        <v>21</v>
      </c>
      <c r="H268" s="32" t="s">
        <v>645</v>
      </c>
      <c r="I268" s="49"/>
      <c r="J268" s="50"/>
      <c r="K268" s="36" t="s">
        <v>23</v>
      </c>
      <c r="L268" s="25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 spans="1:28" ht="30" customHeight="1" x14ac:dyDescent="0.3">
      <c r="A269" s="32">
        <f t="shared" si="24"/>
        <v>21</v>
      </c>
      <c r="B269" s="32"/>
      <c r="C269" s="28" t="s">
        <v>672</v>
      </c>
      <c r="D269" s="28" t="s">
        <v>677</v>
      </c>
      <c r="E269" s="28" t="s">
        <v>678</v>
      </c>
      <c r="F269" s="32" t="str">
        <f t="shared" si="25"/>
        <v>Found as per as expectations</v>
      </c>
      <c r="G269" s="32" t="s">
        <v>21</v>
      </c>
      <c r="H269" s="32" t="s">
        <v>645</v>
      </c>
      <c r="I269" s="44"/>
      <c r="J269" s="45"/>
      <c r="K269" s="36" t="s">
        <v>23</v>
      </c>
      <c r="L269" s="25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 spans="1:28" ht="30" customHeight="1" x14ac:dyDescent="0.3">
      <c r="A270" s="32">
        <f t="shared" si="24"/>
        <v>22</v>
      </c>
      <c r="B270" s="32"/>
      <c r="C270" s="28" t="s">
        <v>672</v>
      </c>
      <c r="D270" s="28" t="s">
        <v>679</v>
      </c>
      <c r="E270" s="28" t="s">
        <v>680</v>
      </c>
      <c r="F270" s="32" t="str">
        <f t="shared" si="25"/>
        <v>Found as per as expectations</v>
      </c>
      <c r="G270" s="32" t="s">
        <v>21</v>
      </c>
      <c r="H270" s="32" t="s">
        <v>645</v>
      </c>
      <c r="I270" s="44"/>
      <c r="J270" s="45"/>
      <c r="K270" s="36" t="s">
        <v>23</v>
      </c>
      <c r="L270" s="25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 spans="1:28" ht="30" customHeight="1" x14ac:dyDescent="0.3">
      <c r="A271" s="32">
        <f t="shared" si="24"/>
        <v>23</v>
      </c>
      <c r="B271" s="32"/>
      <c r="C271" s="28" t="s">
        <v>672</v>
      </c>
      <c r="D271" s="28" t="s">
        <v>681</v>
      </c>
      <c r="E271" s="28" t="s">
        <v>682</v>
      </c>
      <c r="F271" s="32" t="str">
        <f t="shared" si="25"/>
        <v>Found as per as expectations</v>
      </c>
      <c r="G271" s="32" t="s">
        <v>21</v>
      </c>
      <c r="H271" s="32" t="s">
        <v>645</v>
      </c>
      <c r="I271" s="44"/>
      <c r="J271" s="45"/>
      <c r="K271" s="36" t="s">
        <v>23</v>
      </c>
      <c r="L271" s="25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 spans="1:28" ht="30" customHeight="1" x14ac:dyDescent="0.3">
      <c r="A272" s="32">
        <f t="shared" si="24"/>
        <v>24</v>
      </c>
      <c r="B272" s="32"/>
      <c r="C272" s="28" t="s">
        <v>672</v>
      </c>
      <c r="D272" s="28" t="s">
        <v>683</v>
      </c>
      <c r="E272" s="28" t="s">
        <v>684</v>
      </c>
      <c r="F272" s="32" t="str">
        <f t="shared" si="25"/>
        <v>Found as per as expectations</v>
      </c>
      <c r="G272" s="32" t="s">
        <v>21</v>
      </c>
      <c r="H272" s="32" t="s">
        <v>645</v>
      </c>
      <c r="I272" s="44"/>
      <c r="J272" s="45"/>
      <c r="K272" s="36" t="s">
        <v>23</v>
      </c>
      <c r="L272" s="25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 spans="1:28" ht="30" customHeight="1" x14ac:dyDescent="0.3">
      <c r="A273" s="32">
        <f t="shared" si="24"/>
        <v>25</v>
      </c>
      <c r="B273" s="32"/>
      <c r="C273" s="28" t="s">
        <v>646</v>
      </c>
      <c r="D273" s="28" t="s">
        <v>685</v>
      </c>
      <c r="E273" s="28" t="s">
        <v>686</v>
      </c>
      <c r="F273" s="32" t="str">
        <f t="shared" si="25"/>
        <v>Found not as per as exdpectations</v>
      </c>
      <c r="G273" s="32" t="s">
        <v>21</v>
      </c>
      <c r="H273" s="32" t="s">
        <v>645</v>
      </c>
      <c r="I273" s="24" t="s">
        <v>57</v>
      </c>
      <c r="J273" s="45"/>
      <c r="K273" s="36" t="s">
        <v>58</v>
      </c>
      <c r="L273" s="25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 spans="1:28" ht="30" customHeight="1" x14ac:dyDescent="0.3">
      <c r="A274" s="32">
        <f t="shared" si="24"/>
        <v>26</v>
      </c>
      <c r="B274" s="32"/>
      <c r="C274" s="28" t="s">
        <v>687</v>
      </c>
      <c r="D274" s="28" t="s">
        <v>688</v>
      </c>
      <c r="E274" s="28" t="s">
        <v>689</v>
      </c>
      <c r="F274" s="32" t="str">
        <f t="shared" si="25"/>
        <v>Found as per as expectations</v>
      </c>
      <c r="G274" s="32" t="s">
        <v>21</v>
      </c>
      <c r="H274" s="32" t="s">
        <v>645</v>
      </c>
      <c r="I274" s="44"/>
      <c r="J274" s="45"/>
      <c r="K274" s="36" t="s">
        <v>23</v>
      </c>
      <c r="L274" s="25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 spans="1:28" ht="30" customHeight="1" x14ac:dyDescent="0.3">
      <c r="A275" s="32">
        <f t="shared" si="24"/>
        <v>27</v>
      </c>
      <c r="B275" s="32"/>
      <c r="C275" s="28" t="s">
        <v>687</v>
      </c>
      <c r="D275" s="28" t="s">
        <v>690</v>
      </c>
      <c r="E275" s="28" t="s">
        <v>691</v>
      </c>
      <c r="F275" s="32" t="str">
        <f t="shared" si="25"/>
        <v>Found as per as expectations</v>
      </c>
      <c r="G275" s="32" t="s">
        <v>21</v>
      </c>
      <c r="H275" s="32" t="s">
        <v>645</v>
      </c>
      <c r="I275" s="44"/>
      <c r="J275" s="45"/>
      <c r="K275" s="36" t="s">
        <v>23</v>
      </c>
      <c r="L275" s="25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 spans="1:28" ht="30" customHeight="1" x14ac:dyDescent="0.3">
      <c r="A276" s="32">
        <f t="shared" si="24"/>
        <v>28</v>
      </c>
      <c r="B276" s="32"/>
      <c r="C276" s="28" t="s">
        <v>687</v>
      </c>
      <c r="D276" s="28" t="s">
        <v>692</v>
      </c>
      <c r="E276" s="28" t="s">
        <v>693</v>
      </c>
      <c r="F276" s="32" t="str">
        <f t="shared" si="25"/>
        <v>Found as per as expectations</v>
      </c>
      <c r="G276" s="32" t="s">
        <v>21</v>
      </c>
      <c r="H276" s="32" t="s">
        <v>645</v>
      </c>
      <c r="I276" s="44"/>
      <c r="J276" s="45"/>
      <c r="K276" s="36" t="s">
        <v>23</v>
      </c>
      <c r="L276" s="25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 spans="1:28" ht="30" customHeight="1" x14ac:dyDescent="0.3">
      <c r="A277" s="32">
        <f t="shared" si="24"/>
        <v>29</v>
      </c>
      <c r="B277" s="32"/>
      <c r="C277" s="28" t="s">
        <v>687</v>
      </c>
      <c r="D277" s="28" t="s">
        <v>694</v>
      </c>
      <c r="E277" s="28" t="s">
        <v>676</v>
      </c>
      <c r="F277" s="32" t="str">
        <f t="shared" si="25"/>
        <v>Found as per as expectations</v>
      </c>
      <c r="G277" s="32" t="s">
        <v>21</v>
      </c>
      <c r="H277" s="32" t="s">
        <v>645</v>
      </c>
      <c r="I277" s="44"/>
      <c r="J277" s="45"/>
      <c r="K277" s="36" t="s">
        <v>23</v>
      </c>
      <c r="L277" s="25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 spans="1:28" ht="30" customHeight="1" x14ac:dyDescent="0.3">
      <c r="A278" s="32">
        <f t="shared" si="24"/>
        <v>30</v>
      </c>
      <c r="B278" s="32"/>
      <c r="C278" s="28" t="s">
        <v>687</v>
      </c>
      <c r="D278" s="28" t="s">
        <v>695</v>
      </c>
      <c r="E278" s="28" t="s">
        <v>696</v>
      </c>
      <c r="F278" s="32" t="str">
        <f t="shared" si="25"/>
        <v>Found as per as expectations</v>
      </c>
      <c r="G278" s="32" t="s">
        <v>21</v>
      </c>
      <c r="H278" s="32" t="s">
        <v>645</v>
      </c>
      <c r="I278" s="44"/>
      <c r="J278" s="45"/>
      <c r="K278" s="36" t="s">
        <v>23</v>
      </c>
      <c r="L278" s="25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 spans="1:28" ht="30" customHeight="1" x14ac:dyDescent="0.3">
      <c r="A279" s="32">
        <f t="shared" si="24"/>
        <v>31</v>
      </c>
      <c r="B279" s="32"/>
      <c r="C279" s="28" t="s">
        <v>687</v>
      </c>
      <c r="D279" s="28" t="s">
        <v>697</v>
      </c>
      <c r="E279" s="28" t="s">
        <v>698</v>
      </c>
      <c r="F279" s="32" t="str">
        <f t="shared" si="25"/>
        <v>Found as per as expectations</v>
      </c>
      <c r="G279" s="32" t="s">
        <v>21</v>
      </c>
      <c r="H279" s="32" t="s">
        <v>645</v>
      </c>
      <c r="I279" s="44"/>
      <c r="J279" s="45"/>
      <c r="K279" s="36" t="s">
        <v>23</v>
      </c>
      <c r="L279" s="25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 spans="1:28" ht="30" customHeight="1" x14ac:dyDescent="0.3">
      <c r="A280" s="32">
        <f t="shared" si="24"/>
        <v>32</v>
      </c>
      <c r="B280" s="32"/>
      <c r="C280" s="28" t="s">
        <v>687</v>
      </c>
      <c r="D280" s="28" t="s">
        <v>699</v>
      </c>
      <c r="E280" s="28" t="s">
        <v>700</v>
      </c>
      <c r="F280" s="32" t="str">
        <f t="shared" si="25"/>
        <v>Found as per as expectations</v>
      </c>
      <c r="G280" s="32" t="s">
        <v>21</v>
      </c>
      <c r="H280" s="32" t="s">
        <v>645</v>
      </c>
      <c r="I280" s="44"/>
      <c r="J280" s="45"/>
      <c r="K280" s="36" t="s">
        <v>23</v>
      </c>
      <c r="L280" s="25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 spans="1:28" ht="30" customHeight="1" x14ac:dyDescent="0.3">
      <c r="A281" s="32">
        <f t="shared" si="24"/>
        <v>33</v>
      </c>
      <c r="B281" s="32"/>
      <c r="C281" s="28" t="s">
        <v>687</v>
      </c>
      <c r="D281" s="28" t="s">
        <v>701</v>
      </c>
      <c r="E281" s="28" t="s">
        <v>702</v>
      </c>
      <c r="F281" s="32" t="str">
        <f t="shared" si="25"/>
        <v>Found as per as expectations</v>
      </c>
      <c r="G281" s="32" t="s">
        <v>21</v>
      </c>
      <c r="H281" s="32" t="s">
        <v>645</v>
      </c>
      <c r="I281" s="44"/>
      <c r="J281" s="45"/>
      <c r="K281" s="36" t="s">
        <v>23</v>
      </c>
      <c r="L281" s="25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 spans="1:28" ht="30" customHeight="1" x14ac:dyDescent="0.3">
      <c r="A282" s="32">
        <f t="shared" si="24"/>
        <v>34</v>
      </c>
      <c r="B282" s="32"/>
      <c r="C282" s="28" t="s">
        <v>687</v>
      </c>
      <c r="D282" s="28" t="s">
        <v>703</v>
      </c>
      <c r="E282" s="28" t="s">
        <v>704</v>
      </c>
      <c r="F282" s="32" t="str">
        <f t="shared" si="25"/>
        <v>Found as per as expectations</v>
      </c>
      <c r="G282" s="32" t="s">
        <v>21</v>
      </c>
      <c r="H282" s="32" t="s">
        <v>645</v>
      </c>
      <c r="I282" s="44"/>
      <c r="J282" s="45"/>
      <c r="K282" s="36" t="s">
        <v>23</v>
      </c>
      <c r="L282" s="25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 spans="1:28" ht="30" customHeight="1" x14ac:dyDescent="0.3">
      <c r="A283" s="32">
        <f t="shared" si="24"/>
        <v>35</v>
      </c>
      <c r="B283" s="32"/>
      <c r="C283" s="28" t="s">
        <v>687</v>
      </c>
      <c r="D283" s="28" t="s">
        <v>705</v>
      </c>
      <c r="E283" s="28" t="s">
        <v>704</v>
      </c>
      <c r="F283" s="32" t="str">
        <f t="shared" si="25"/>
        <v>Found as per as expectations</v>
      </c>
      <c r="G283" s="32" t="s">
        <v>21</v>
      </c>
      <c r="H283" s="32" t="s">
        <v>645</v>
      </c>
      <c r="I283" s="44"/>
      <c r="J283" s="45"/>
      <c r="K283" s="36" t="s">
        <v>23</v>
      </c>
      <c r="L283" s="25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 spans="1:28" ht="30" customHeight="1" x14ac:dyDescent="0.3">
      <c r="A284" s="32">
        <f t="shared" si="24"/>
        <v>36</v>
      </c>
      <c r="B284" s="32"/>
      <c r="C284" s="28" t="s">
        <v>687</v>
      </c>
      <c r="D284" s="28" t="s">
        <v>706</v>
      </c>
      <c r="E284" s="28" t="s">
        <v>707</v>
      </c>
      <c r="F284" s="32" t="str">
        <f t="shared" si="25"/>
        <v>Found as per as expectations</v>
      </c>
      <c r="G284" s="32" t="s">
        <v>21</v>
      </c>
      <c r="H284" s="32" t="s">
        <v>645</v>
      </c>
      <c r="I284" s="44"/>
      <c r="J284" s="45"/>
      <c r="K284" s="36" t="s">
        <v>23</v>
      </c>
      <c r="L284" s="25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 spans="1:28" ht="30" customHeight="1" x14ac:dyDescent="0.3">
      <c r="A285" s="55" t="s">
        <v>708</v>
      </c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72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 spans="1:28" ht="30" customHeight="1" x14ac:dyDescent="0.3">
      <c r="A286" s="32">
        <f t="shared" ref="A286:A319" si="26">ROW()-285</f>
        <v>1</v>
      </c>
      <c r="B286" s="73" t="s">
        <v>17</v>
      </c>
      <c r="C286" s="28" t="s">
        <v>709</v>
      </c>
      <c r="D286" s="28" t="s">
        <v>710</v>
      </c>
      <c r="E286" s="28" t="s">
        <v>711</v>
      </c>
      <c r="F286" s="32" t="str">
        <f t="shared" ref="F286:F334" si="27">IF(K286="Passed","Found as per as expectations","Found not as per as exdpectations")</f>
        <v>Found as per as expectations</v>
      </c>
      <c r="G286" s="32" t="s">
        <v>21</v>
      </c>
      <c r="H286" s="32" t="s">
        <v>712</v>
      </c>
      <c r="I286" s="35"/>
      <c r="J286" s="33"/>
      <c r="K286" s="36" t="s">
        <v>23</v>
      </c>
      <c r="L286" s="25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 spans="1:28" ht="30" customHeight="1" x14ac:dyDescent="0.3">
      <c r="A287" s="32">
        <f t="shared" si="26"/>
        <v>2</v>
      </c>
      <c r="B287" s="32"/>
      <c r="C287" s="28" t="s">
        <v>709</v>
      </c>
      <c r="D287" s="28" t="s">
        <v>713</v>
      </c>
      <c r="E287" s="28" t="s">
        <v>714</v>
      </c>
      <c r="F287" s="32" t="str">
        <f t="shared" si="27"/>
        <v>Found as per as expectations</v>
      </c>
      <c r="G287" s="32" t="s">
        <v>21</v>
      </c>
      <c r="H287" s="32" t="s">
        <v>712</v>
      </c>
      <c r="I287" s="38"/>
      <c r="J287" s="39"/>
      <c r="K287" s="36" t="s">
        <v>23</v>
      </c>
      <c r="L287" s="25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 spans="1:28" ht="30" customHeight="1" x14ac:dyDescent="0.3">
      <c r="A288" s="32">
        <f t="shared" si="26"/>
        <v>3</v>
      </c>
      <c r="B288" s="32"/>
      <c r="C288" s="28" t="s">
        <v>709</v>
      </c>
      <c r="D288" s="28" t="s">
        <v>715</v>
      </c>
      <c r="E288" s="28" t="s">
        <v>716</v>
      </c>
      <c r="F288" s="32" t="str">
        <f t="shared" si="27"/>
        <v>Found as per as expectations</v>
      </c>
      <c r="G288" s="32" t="s">
        <v>21</v>
      </c>
      <c r="H288" s="32" t="s">
        <v>712</v>
      </c>
      <c r="I288" s="35"/>
      <c r="J288" s="40"/>
      <c r="K288" s="36" t="s">
        <v>23</v>
      </c>
      <c r="L288" s="25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 spans="1:28" ht="30" customHeight="1" x14ac:dyDescent="0.3">
      <c r="A289" s="32">
        <f t="shared" si="26"/>
        <v>4</v>
      </c>
      <c r="B289" s="32"/>
      <c r="C289" s="28" t="s">
        <v>709</v>
      </c>
      <c r="D289" s="28" t="s">
        <v>717</v>
      </c>
      <c r="E289" s="28" t="s">
        <v>718</v>
      </c>
      <c r="F289" s="32" t="str">
        <f t="shared" si="27"/>
        <v>Found as per as expectations</v>
      </c>
      <c r="G289" s="32" t="s">
        <v>21</v>
      </c>
      <c r="H289" s="32" t="s">
        <v>712</v>
      </c>
      <c r="I289" s="35"/>
      <c r="J289" s="40"/>
      <c r="K289" s="36" t="s">
        <v>23</v>
      </c>
      <c r="L289" s="25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 spans="1:28" ht="30" customHeight="1" x14ac:dyDescent="0.3">
      <c r="A290" s="32">
        <f t="shared" si="26"/>
        <v>5</v>
      </c>
      <c r="B290" s="32"/>
      <c r="C290" s="28" t="s">
        <v>709</v>
      </c>
      <c r="D290" s="28" t="s">
        <v>719</v>
      </c>
      <c r="E290" s="28" t="s">
        <v>720</v>
      </c>
      <c r="F290" s="32" t="str">
        <f t="shared" si="27"/>
        <v>Found as per as expectations</v>
      </c>
      <c r="G290" s="32" t="s">
        <v>21</v>
      </c>
      <c r="H290" s="32" t="s">
        <v>712</v>
      </c>
      <c r="I290" s="35"/>
      <c r="J290" s="40"/>
      <c r="K290" s="36" t="s">
        <v>23</v>
      </c>
      <c r="L290" s="25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 spans="1:28" ht="30" customHeight="1" x14ac:dyDescent="0.3">
      <c r="A291" s="32">
        <f t="shared" si="26"/>
        <v>6</v>
      </c>
      <c r="B291" s="32"/>
      <c r="C291" s="28" t="s">
        <v>709</v>
      </c>
      <c r="D291" s="28" t="s">
        <v>721</v>
      </c>
      <c r="E291" s="28" t="s">
        <v>722</v>
      </c>
      <c r="F291" s="32" t="str">
        <f t="shared" si="27"/>
        <v>Found as per as expectations</v>
      </c>
      <c r="G291" s="32" t="s">
        <v>21</v>
      </c>
      <c r="H291" s="32" t="s">
        <v>712</v>
      </c>
      <c r="I291" s="35"/>
      <c r="J291" s="40"/>
      <c r="K291" s="36" t="s">
        <v>23</v>
      </c>
      <c r="L291" s="25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 spans="1:28" ht="30" customHeight="1" x14ac:dyDescent="0.3">
      <c r="A292" s="32">
        <f t="shared" si="26"/>
        <v>7</v>
      </c>
      <c r="B292" s="32"/>
      <c r="C292" s="28" t="s">
        <v>709</v>
      </c>
      <c r="D292" s="28" t="s">
        <v>723</v>
      </c>
      <c r="E292" s="28" t="s">
        <v>724</v>
      </c>
      <c r="F292" s="32" t="str">
        <f t="shared" si="27"/>
        <v>Found as per as expectations</v>
      </c>
      <c r="G292" s="32" t="s">
        <v>21</v>
      </c>
      <c r="H292" s="32" t="s">
        <v>712</v>
      </c>
      <c r="I292" s="35"/>
      <c r="J292" s="40"/>
      <c r="K292" s="36" t="s">
        <v>23</v>
      </c>
      <c r="L292" s="25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 spans="1:28" ht="30" customHeight="1" x14ac:dyDescent="0.3">
      <c r="A293" s="32">
        <f t="shared" si="26"/>
        <v>8</v>
      </c>
      <c r="B293" s="32"/>
      <c r="C293" s="28" t="s">
        <v>709</v>
      </c>
      <c r="D293" s="28" t="s">
        <v>725</v>
      </c>
      <c r="E293" s="28" t="s">
        <v>726</v>
      </c>
      <c r="F293" s="32" t="str">
        <f t="shared" si="27"/>
        <v>Found as per as expectations</v>
      </c>
      <c r="G293" s="32" t="s">
        <v>21</v>
      </c>
      <c r="H293" s="32" t="s">
        <v>712</v>
      </c>
      <c r="I293" s="35"/>
      <c r="J293" s="40"/>
      <c r="K293" s="36" t="s">
        <v>23</v>
      </c>
      <c r="L293" s="25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 spans="1:28" ht="30" customHeight="1" x14ac:dyDescent="0.3">
      <c r="A294" s="32">
        <f t="shared" si="26"/>
        <v>9</v>
      </c>
      <c r="B294" s="32"/>
      <c r="C294" s="28" t="s">
        <v>709</v>
      </c>
      <c r="D294" s="28" t="s">
        <v>727</v>
      </c>
      <c r="E294" s="28" t="s">
        <v>728</v>
      </c>
      <c r="F294" s="32" t="str">
        <f t="shared" si="27"/>
        <v>Found as per as expectations</v>
      </c>
      <c r="G294" s="32" t="s">
        <v>21</v>
      </c>
      <c r="H294" s="32" t="s">
        <v>712</v>
      </c>
      <c r="I294" s="35"/>
      <c r="J294" s="40"/>
      <c r="K294" s="36" t="s">
        <v>23</v>
      </c>
      <c r="L294" s="25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 spans="1:28" ht="30" customHeight="1" x14ac:dyDescent="0.3">
      <c r="A295" s="32">
        <f t="shared" si="26"/>
        <v>10</v>
      </c>
      <c r="B295" s="32"/>
      <c r="C295" s="74" t="s">
        <v>709</v>
      </c>
      <c r="D295" s="28" t="s">
        <v>729</v>
      </c>
      <c r="E295" s="74" t="s">
        <v>730</v>
      </c>
      <c r="F295" s="32" t="str">
        <f t="shared" si="27"/>
        <v>Found as per as expectations</v>
      </c>
      <c r="G295" s="32" t="s">
        <v>21</v>
      </c>
      <c r="H295" s="32" t="s">
        <v>712</v>
      </c>
      <c r="I295" s="35"/>
      <c r="J295" s="40"/>
      <c r="K295" s="36" t="s">
        <v>23</v>
      </c>
      <c r="L295" s="25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 spans="1:28" ht="30" customHeight="1" x14ac:dyDescent="0.3">
      <c r="A296" s="32">
        <f t="shared" si="26"/>
        <v>11</v>
      </c>
      <c r="B296" s="32"/>
      <c r="C296" s="74" t="s">
        <v>709</v>
      </c>
      <c r="D296" s="28" t="s">
        <v>731</v>
      </c>
      <c r="E296" s="74" t="s">
        <v>732</v>
      </c>
      <c r="F296" s="32" t="str">
        <f t="shared" si="27"/>
        <v>Found as per as expectations</v>
      </c>
      <c r="G296" s="32" t="s">
        <v>21</v>
      </c>
      <c r="H296" s="32" t="s">
        <v>712</v>
      </c>
      <c r="I296" s="35"/>
      <c r="J296" s="40"/>
      <c r="K296" s="36" t="s">
        <v>23</v>
      </c>
      <c r="L296" s="25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 spans="1:28" ht="30" customHeight="1" x14ac:dyDescent="0.3">
      <c r="A297" s="32">
        <f t="shared" si="26"/>
        <v>12</v>
      </c>
      <c r="B297" s="32"/>
      <c r="C297" s="74" t="s">
        <v>733</v>
      </c>
      <c r="D297" s="28" t="s">
        <v>734</v>
      </c>
      <c r="E297" s="74" t="s">
        <v>735</v>
      </c>
      <c r="F297" s="32" t="str">
        <f t="shared" si="27"/>
        <v>Found as per as expectations</v>
      </c>
      <c r="G297" s="32" t="s">
        <v>21</v>
      </c>
      <c r="H297" s="32" t="s">
        <v>712</v>
      </c>
      <c r="I297" s="35"/>
      <c r="J297" s="40"/>
      <c r="K297" s="36" t="s">
        <v>23</v>
      </c>
      <c r="L297" s="25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 spans="1:28" ht="30" customHeight="1" x14ac:dyDescent="0.3">
      <c r="A298" s="32">
        <f t="shared" si="26"/>
        <v>13</v>
      </c>
      <c r="B298" s="32"/>
      <c r="C298" s="74" t="s">
        <v>733</v>
      </c>
      <c r="D298" s="28" t="s">
        <v>736</v>
      </c>
      <c r="E298" s="74" t="s">
        <v>737</v>
      </c>
      <c r="F298" s="32" t="str">
        <f t="shared" si="27"/>
        <v>Found as per as expectations</v>
      </c>
      <c r="G298" s="32" t="s">
        <v>21</v>
      </c>
      <c r="H298" s="32" t="s">
        <v>712</v>
      </c>
      <c r="I298" s="35"/>
      <c r="J298" s="40"/>
      <c r="K298" s="36" t="s">
        <v>23</v>
      </c>
      <c r="L298" s="25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 spans="1:28" ht="30" customHeight="1" x14ac:dyDescent="0.3">
      <c r="A299" s="32">
        <f t="shared" si="26"/>
        <v>14</v>
      </c>
      <c r="B299" s="32"/>
      <c r="C299" s="74" t="s">
        <v>733</v>
      </c>
      <c r="D299" s="28" t="s">
        <v>738</v>
      </c>
      <c r="E299" s="74" t="s">
        <v>739</v>
      </c>
      <c r="F299" s="32" t="str">
        <f t="shared" si="27"/>
        <v>Found as per as expectations</v>
      </c>
      <c r="G299" s="32" t="s">
        <v>21</v>
      </c>
      <c r="H299" s="32" t="s">
        <v>712</v>
      </c>
      <c r="I299" s="35"/>
      <c r="J299" s="40"/>
      <c r="K299" s="36" t="s">
        <v>23</v>
      </c>
      <c r="L299" s="25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 spans="1:28" ht="30" customHeight="1" x14ac:dyDescent="0.3">
      <c r="A300" s="32">
        <f t="shared" si="26"/>
        <v>15</v>
      </c>
      <c r="B300" s="32"/>
      <c r="C300" s="74" t="s">
        <v>733</v>
      </c>
      <c r="D300" s="28" t="s">
        <v>740</v>
      </c>
      <c r="E300" s="74" t="s">
        <v>741</v>
      </c>
      <c r="F300" s="32" t="str">
        <f t="shared" si="27"/>
        <v>Found as per as expectations</v>
      </c>
      <c r="G300" s="32" t="s">
        <v>21</v>
      </c>
      <c r="H300" s="32" t="s">
        <v>712</v>
      </c>
      <c r="I300" s="35"/>
      <c r="J300" s="40"/>
      <c r="K300" s="36" t="s">
        <v>23</v>
      </c>
      <c r="L300" s="25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 spans="1:28" ht="30" customHeight="1" x14ac:dyDescent="0.3">
      <c r="A301" s="32">
        <f t="shared" si="26"/>
        <v>16</v>
      </c>
      <c r="B301" s="32"/>
      <c r="C301" s="74" t="s">
        <v>733</v>
      </c>
      <c r="D301" s="28" t="s">
        <v>742</v>
      </c>
      <c r="E301" s="74" t="s">
        <v>743</v>
      </c>
      <c r="F301" s="32" t="str">
        <f t="shared" si="27"/>
        <v>Found as per as expectations</v>
      </c>
      <c r="G301" s="32" t="s">
        <v>21</v>
      </c>
      <c r="H301" s="32" t="s">
        <v>712</v>
      </c>
      <c r="I301" s="35"/>
      <c r="J301" s="40"/>
      <c r="K301" s="36" t="s">
        <v>23</v>
      </c>
      <c r="L301" s="25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 spans="1:28" ht="30" customHeight="1" x14ac:dyDescent="0.3">
      <c r="A302" s="32">
        <f t="shared" si="26"/>
        <v>17</v>
      </c>
      <c r="B302" s="32"/>
      <c r="C302" s="74" t="s">
        <v>733</v>
      </c>
      <c r="D302" s="28" t="s">
        <v>463</v>
      </c>
      <c r="E302" s="74" t="s">
        <v>542</v>
      </c>
      <c r="F302" s="32" t="str">
        <f t="shared" si="27"/>
        <v>Found as per as expectations</v>
      </c>
      <c r="G302" s="32" t="s">
        <v>21</v>
      </c>
      <c r="H302" s="32" t="s">
        <v>712</v>
      </c>
      <c r="I302" s="35"/>
      <c r="J302" s="40"/>
      <c r="K302" s="36" t="s">
        <v>23</v>
      </c>
      <c r="L302" s="25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 spans="1:28" ht="30" customHeight="1" x14ac:dyDescent="0.3">
      <c r="A303" s="32">
        <f t="shared" si="26"/>
        <v>18</v>
      </c>
      <c r="B303" s="32"/>
      <c r="C303" s="74" t="s">
        <v>733</v>
      </c>
      <c r="D303" s="28" t="s">
        <v>744</v>
      </c>
      <c r="E303" s="74" t="s">
        <v>745</v>
      </c>
      <c r="F303" s="32" t="str">
        <f t="shared" si="27"/>
        <v>Found as per as expectations</v>
      </c>
      <c r="G303" s="32" t="s">
        <v>21</v>
      </c>
      <c r="H303" s="32" t="s">
        <v>712</v>
      </c>
      <c r="I303" s="35"/>
      <c r="J303" s="40"/>
      <c r="K303" s="36" t="s">
        <v>23</v>
      </c>
      <c r="L303" s="25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 spans="1:28" ht="30" customHeight="1" x14ac:dyDescent="0.3">
      <c r="A304" s="32">
        <f t="shared" si="26"/>
        <v>19</v>
      </c>
      <c r="B304" s="32"/>
      <c r="C304" s="74" t="s">
        <v>733</v>
      </c>
      <c r="D304" s="28" t="s">
        <v>746</v>
      </c>
      <c r="E304" s="74" t="s">
        <v>747</v>
      </c>
      <c r="F304" s="32" t="str">
        <f t="shared" si="27"/>
        <v>Found as per as expectations</v>
      </c>
      <c r="G304" s="32" t="s">
        <v>21</v>
      </c>
      <c r="H304" s="32" t="s">
        <v>712</v>
      </c>
      <c r="I304" s="35"/>
      <c r="J304" s="40"/>
      <c r="K304" s="36" t="s">
        <v>23</v>
      </c>
      <c r="L304" s="25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 spans="1:28" ht="30" customHeight="1" x14ac:dyDescent="0.3">
      <c r="A305" s="32">
        <f t="shared" si="26"/>
        <v>20</v>
      </c>
      <c r="B305" s="32"/>
      <c r="C305" s="74" t="s">
        <v>748</v>
      </c>
      <c r="D305" s="28" t="s">
        <v>749</v>
      </c>
      <c r="E305" s="74" t="s">
        <v>750</v>
      </c>
      <c r="F305" s="32" t="str">
        <f t="shared" si="27"/>
        <v>Found as per as expectations</v>
      </c>
      <c r="G305" s="32" t="s">
        <v>21</v>
      </c>
      <c r="H305" s="32" t="s">
        <v>712</v>
      </c>
      <c r="I305" s="35"/>
      <c r="J305" s="40"/>
      <c r="K305" s="36" t="s">
        <v>23</v>
      </c>
      <c r="L305" s="25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 spans="1:28" ht="30" customHeight="1" x14ac:dyDescent="0.3">
      <c r="A306" s="32">
        <f t="shared" si="26"/>
        <v>21</v>
      </c>
      <c r="B306" s="32"/>
      <c r="C306" s="74" t="s">
        <v>748</v>
      </c>
      <c r="D306" s="28" t="s">
        <v>751</v>
      </c>
      <c r="E306" s="74" t="s">
        <v>752</v>
      </c>
      <c r="F306" s="32" t="str">
        <f t="shared" si="27"/>
        <v>Found as per as expectations</v>
      </c>
      <c r="G306" s="32" t="s">
        <v>21</v>
      </c>
      <c r="H306" s="32" t="s">
        <v>712</v>
      </c>
      <c r="I306" s="35"/>
      <c r="J306" s="40"/>
      <c r="K306" s="36" t="s">
        <v>23</v>
      </c>
      <c r="L306" s="25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 spans="1:28" ht="30" customHeight="1" x14ac:dyDescent="0.3">
      <c r="A307" s="32">
        <f t="shared" si="26"/>
        <v>22</v>
      </c>
      <c r="B307" s="32"/>
      <c r="C307" s="74" t="s">
        <v>753</v>
      </c>
      <c r="D307" s="28" t="s">
        <v>754</v>
      </c>
      <c r="E307" s="74" t="s">
        <v>755</v>
      </c>
      <c r="F307" s="32" t="str">
        <f t="shared" si="27"/>
        <v>Found as per as expectations</v>
      </c>
      <c r="G307" s="32" t="s">
        <v>21</v>
      </c>
      <c r="H307" s="32" t="s">
        <v>712</v>
      </c>
      <c r="I307" s="35"/>
      <c r="J307" s="40"/>
      <c r="K307" s="36" t="s">
        <v>23</v>
      </c>
      <c r="L307" s="25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 spans="1:28" ht="30" customHeight="1" x14ac:dyDescent="0.3">
      <c r="A308" s="32">
        <f t="shared" si="26"/>
        <v>23</v>
      </c>
      <c r="B308" s="32"/>
      <c r="C308" s="74" t="s">
        <v>753</v>
      </c>
      <c r="D308" s="28" t="s">
        <v>756</v>
      </c>
      <c r="E308" s="74" t="s">
        <v>757</v>
      </c>
      <c r="F308" s="32" t="str">
        <f t="shared" si="27"/>
        <v>Found as per as expectations</v>
      </c>
      <c r="G308" s="32" t="s">
        <v>21</v>
      </c>
      <c r="H308" s="32" t="s">
        <v>712</v>
      </c>
      <c r="I308" s="35"/>
      <c r="J308" s="40"/>
      <c r="K308" s="36" t="s">
        <v>23</v>
      </c>
      <c r="L308" s="25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 spans="1:28" ht="30" customHeight="1" x14ac:dyDescent="0.3">
      <c r="A309" s="32">
        <f t="shared" si="26"/>
        <v>24</v>
      </c>
      <c r="B309" s="32"/>
      <c r="C309" s="74" t="s">
        <v>758</v>
      </c>
      <c r="D309" s="28" t="s">
        <v>759</v>
      </c>
      <c r="E309" s="74" t="s">
        <v>760</v>
      </c>
      <c r="F309" s="32" t="str">
        <f t="shared" si="27"/>
        <v>Found as per as expectations</v>
      </c>
      <c r="G309" s="32" t="s">
        <v>21</v>
      </c>
      <c r="H309" s="32" t="s">
        <v>712</v>
      </c>
      <c r="I309" s="35"/>
      <c r="J309" s="40"/>
      <c r="K309" s="36" t="s">
        <v>23</v>
      </c>
      <c r="L309" s="25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 spans="1:28" ht="30" customHeight="1" x14ac:dyDescent="0.3">
      <c r="A310" s="32">
        <f t="shared" si="26"/>
        <v>25</v>
      </c>
      <c r="B310" s="32"/>
      <c r="C310" s="74" t="s">
        <v>758</v>
      </c>
      <c r="D310" s="28" t="s">
        <v>761</v>
      </c>
      <c r="E310" s="74" t="s">
        <v>762</v>
      </c>
      <c r="F310" s="32" t="str">
        <f t="shared" si="27"/>
        <v>Found as per as expectations</v>
      </c>
      <c r="G310" s="32" t="s">
        <v>21</v>
      </c>
      <c r="H310" s="32" t="s">
        <v>712</v>
      </c>
      <c r="I310" s="35"/>
      <c r="J310" s="40"/>
      <c r="K310" s="36" t="s">
        <v>23</v>
      </c>
      <c r="L310" s="25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 spans="1:28" ht="30" customHeight="1" x14ac:dyDescent="0.3">
      <c r="A311" s="32">
        <f t="shared" si="26"/>
        <v>26</v>
      </c>
      <c r="B311" s="32"/>
      <c r="C311" s="74" t="s">
        <v>763</v>
      </c>
      <c r="D311" s="28" t="s">
        <v>764</v>
      </c>
      <c r="E311" s="74" t="s">
        <v>765</v>
      </c>
      <c r="F311" s="32" t="str">
        <f t="shared" si="27"/>
        <v>Found as per as expectations</v>
      </c>
      <c r="G311" s="32" t="s">
        <v>21</v>
      </c>
      <c r="H311" s="32" t="s">
        <v>712</v>
      </c>
      <c r="I311" s="35"/>
      <c r="J311" s="40"/>
      <c r="K311" s="36" t="s">
        <v>23</v>
      </c>
      <c r="L311" s="25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 spans="1:28" ht="30" customHeight="1" x14ac:dyDescent="0.3">
      <c r="A312" s="32">
        <f t="shared" si="26"/>
        <v>27</v>
      </c>
      <c r="B312" s="32"/>
      <c r="C312" s="25" t="s">
        <v>210</v>
      </c>
      <c r="D312" s="25" t="s">
        <v>211</v>
      </c>
      <c r="E312" s="25" t="s">
        <v>212</v>
      </c>
      <c r="F312" s="32" t="str">
        <f t="shared" si="27"/>
        <v>Found as per as expectations</v>
      </c>
      <c r="G312" s="32" t="s">
        <v>21</v>
      </c>
      <c r="H312" s="32" t="s">
        <v>712</v>
      </c>
      <c r="I312" s="43"/>
      <c r="J312" s="41"/>
      <c r="K312" s="36" t="s">
        <v>23</v>
      </c>
      <c r="L312" s="25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 spans="1:28" ht="30" customHeight="1" x14ac:dyDescent="0.3">
      <c r="A313" s="32">
        <f t="shared" si="26"/>
        <v>28</v>
      </c>
      <c r="B313" s="53" t="s">
        <v>71</v>
      </c>
      <c r="C313" s="74" t="s">
        <v>709</v>
      </c>
      <c r="D313" s="74" t="s">
        <v>766</v>
      </c>
      <c r="E313" s="74" t="s">
        <v>767</v>
      </c>
      <c r="F313" s="32" t="str">
        <f t="shared" si="27"/>
        <v>Found as per as expectations</v>
      </c>
      <c r="G313" s="32" t="s">
        <v>21</v>
      </c>
      <c r="H313" s="32" t="s">
        <v>712</v>
      </c>
      <c r="I313" s="65"/>
      <c r="J313" s="41"/>
      <c r="K313" s="36" t="s">
        <v>23</v>
      </c>
      <c r="L313" s="25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 spans="1:28" ht="30" customHeight="1" x14ac:dyDescent="0.3">
      <c r="A314" s="32">
        <f t="shared" si="26"/>
        <v>29</v>
      </c>
      <c r="B314" s="32"/>
      <c r="C314" s="74" t="s">
        <v>709</v>
      </c>
      <c r="D314" s="74" t="s">
        <v>768</v>
      </c>
      <c r="E314" s="74" t="s">
        <v>767</v>
      </c>
      <c r="F314" s="32" t="str">
        <f t="shared" si="27"/>
        <v>Found as per as expectations</v>
      </c>
      <c r="G314" s="32" t="s">
        <v>21</v>
      </c>
      <c r="H314" s="32" t="s">
        <v>712</v>
      </c>
      <c r="I314" s="65"/>
      <c r="J314" s="41"/>
      <c r="K314" s="36" t="s">
        <v>23</v>
      </c>
      <c r="L314" s="25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 spans="1:28" ht="30" customHeight="1" x14ac:dyDescent="0.3">
      <c r="A315" s="32">
        <f t="shared" si="26"/>
        <v>30</v>
      </c>
      <c r="B315" s="32"/>
      <c r="C315" s="28" t="s">
        <v>709</v>
      </c>
      <c r="D315" s="28" t="s">
        <v>769</v>
      </c>
      <c r="E315" s="28" t="s">
        <v>770</v>
      </c>
      <c r="F315" s="32" t="str">
        <f t="shared" si="27"/>
        <v>Found as per as expectations</v>
      </c>
      <c r="G315" s="32" t="s">
        <v>21</v>
      </c>
      <c r="H315" s="32" t="s">
        <v>712</v>
      </c>
      <c r="I315" s="65"/>
      <c r="J315" s="41"/>
      <c r="K315" s="36" t="s">
        <v>23</v>
      </c>
      <c r="L315" s="25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 spans="1:28" ht="30" customHeight="1" x14ac:dyDescent="0.3">
      <c r="A316" s="32">
        <f t="shared" si="26"/>
        <v>31</v>
      </c>
      <c r="B316" s="32"/>
      <c r="C316" s="28" t="s">
        <v>709</v>
      </c>
      <c r="D316" s="28" t="s">
        <v>771</v>
      </c>
      <c r="E316" s="28" t="s">
        <v>772</v>
      </c>
      <c r="F316" s="32" t="str">
        <f t="shared" si="27"/>
        <v>Found as per as expectations</v>
      </c>
      <c r="G316" s="32" t="s">
        <v>21</v>
      </c>
      <c r="H316" s="32" t="s">
        <v>712</v>
      </c>
      <c r="I316" s="43"/>
      <c r="J316" s="41"/>
      <c r="K316" s="36" t="s">
        <v>23</v>
      </c>
      <c r="L316" s="25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 spans="1:28" ht="30" customHeight="1" x14ac:dyDescent="0.3">
      <c r="A317" s="32">
        <f t="shared" si="26"/>
        <v>32</v>
      </c>
      <c r="B317" s="32"/>
      <c r="C317" s="28" t="s">
        <v>709</v>
      </c>
      <c r="D317" s="28" t="s">
        <v>773</v>
      </c>
      <c r="E317" s="28" t="s">
        <v>772</v>
      </c>
      <c r="F317" s="32" t="str">
        <f t="shared" si="27"/>
        <v>Found as per as expectations</v>
      </c>
      <c r="G317" s="32" t="s">
        <v>21</v>
      </c>
      <c r="H317" s="32" t="s">
        <v>712</v>
      </c>
      <c r="I317" s="24"/>
      <c r="J317" s="45"/>
      <c r="K317" s="36" t="s">
        <v>23</v>
      </c>
      <c r="L317" s="25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 spans="1:28" ht="30" customHeight="1" x14ac:dyDescent="0.3">
      <c r="A318" s="32">
        <f t="shared" si="26"/>
        <v>33</v>
      </c>
      <c r="B318" s="32"/>
      <c r="C318" s="28" t="s">
        <v>709</v>
      </c>
      <c r="D318" s="28" t="s">
        <v>774</v>
      </c>
      <c r="E318" s="28" t="s">
        <v>772</v>
      </c>
      <c r="F318" s="32" t="str">
        <f t="shared" si="27"/>
        <v>Found as per as expectations</v>
      </c>
      <c r="G318" s="32" t="s">
        <v>21</v>
      </c>
      <c r="H318" s="32" t="s">
        <v>712</v>
      </c>
      <c r="I318" s="24"/>
      <c r="J318" s="45"/>
      <c r="K318" s="36" t="s">
        <v>23</v>
      </c>
      <c r="L318" s="25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 spans="1:28" ht="30" customHeight="1" x14ac:dyDescent="0.3">
      <c r="A319" s="32">
        <f t="shared" si="26"/>
        <v>34</v>
      </c>
      <c r="B319" s="32"/>
      <c r="C319" s="28" t="s">
        <v>709</v>
      </c>
      <c r="D319" s="28" t="s">
        <v>775</v>
      </c>
      <c r="E319" s="28" t="s">
        <v>776</v>
      </c>
      <c r="F319" s="32" t="str">
        <f t="shared" si="27"/>
        <v>Found not as per as exdpectations</v>
      </c>
      <c r="G319" s="32" t="s">
        <v>21</v>
      </c>
      <c r="H319" s="32" t="s">
        <v>712</v>
      </c>
      <c r="I319" s="24" t="s">
        <v>57</v>
      </c>
      <c r="J319" s="45"/>
      <c r="K319" s="36" t="s">
        <v>58</v>
      </c>
      <c r="L319" s="25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 spans="1:28" ht="30" customHeight="1" x14ac:dyDescent="0.3">
      <c r="A320" s="32">
        <f t="shared" ref="A320:A334" si="28">ROW()-111</f>
        <v>209</v>
      </c>
      <c r="B320" s="83"/>
      <c r="C320" s="28" t="s">
        <v>709</v>
      </c>
      <c r="D320" s="28" t="s">
        <v>777</v>
      </c>
      <c r="E320" s="28" t="s">
        <v>778</v>
      </c>
      <c r="F320" s="32" t="str">
        <f t="shared" si="27"/>
        <v>Found not as per as exdpectations</v>
      </c>
      <c r="G320" s="32" t="s">
        <v>21</v>
      </c>
      <c r="H320" s="32" t="s">
        <v>712</v>
      </c>
      <c r="I320" s="49" t="s">
        <v>57</v>
      </c>
      <c r="J320" s="50"/>
      <c r="K320" s="36" t="s">
        <v>58</v>
      </c>
      <c r="L320" s="25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 spans="1:28" ht="30" customHeight="1" x14ac:dyDescent="0.3">
      <c r="A321" s="32">
        <f t="shared" si="28"/>
        <v>210</v>
      </c>
      <c r="B321" s="32"/>
      <c r="C321" s="28" t="s">
        <v>709</v>
      </c>
      <c r="D321" s="28" t="s">
        <v>779</v>
      </c>
      <c r="E321" s="28" t="s">
        <v>780</v>
      </c>
      <c r="F321" s="32" t="str">
        <f t="shared" si="27"/>
        <v>Found as per as expectations</v>
      </c>
      <c r="G321" s="32" t="s">
        <v>21</v>
      </c>
      <c r="H321" s="32" t="s">
        <v>712</v>
      </c>
      <c r="I321" s="44"/>
      <c r="J321" s="45"/>
      <c r="K321" s="36" t="s">
        <v>23</v>
      </c>
      <c r="L321" s="25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 spans="1:28" ht="30" customHeight="1" x14ac:dyDescent="0.3">
      <c r="A322" s="32">
        <f t="shared" si="28"/>
        <v>211</v>
      </c>
      <c r="B322" s="32"/>
      <c r="C322" s="74" t="s">
        <v>733</v>
      </c>
      <c r="D322" s="28" t="s">
        <v>781</v>
      </c>
      <c r="E322" s="74" t="s">
        <v>782</v>
      </c>
      <c r="F322" s="32" t="str">
        <f t="shared" si="27"/>
        <v>Found as per as expectations</v>
      </c>
      <c r="G322" s="32" t="s">
        <v>21</v>
      </c>
      <c r="H322" s="32" t="s">
        <v>712</v>
      </c>
      <c r="I322" s="44"/>
      <c r="J322" s="45"/>
      <c r="K322" s="36" t="s">
        <v>23</v>
      </c>
      <c r="L322" s="25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 spans="1:28" ht="30" customHeight="1" x14ac:dyDescent="0.3">
      <c r="A323" s="32">
        <f t="shared" si="28"/>
        <v>212</v>
      </c>
      <c r="B323" s="32"/>
      <c r="C323" s="74" t="s">
        <v>733</v>
      </c>
      <c r="D323" s="28" t="s">
        <v>783</v>
      </c>
      <c r="E323" s="28" t="s">
        <v>784</v>
      </c>
      <c r="F323" s="32" t="str">
        <f t="shared" si="27"/>
        <v>Found as per as expectations</v>
      </c>
      <c r="G323" s="32" t="s">
        <v>21</v>
      </c>
      <c r="H323" s="32" t="s">
        <v>712</v>
      </c>
      <c r="I323" s="44"/>
      <c r="J323" s="45"/>
      <c r="K323" s="36" t="s">
        <v>23</v>
      </c>
      <c r="L323" s="25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 spans="1:28" ht="30" customHeight="1" x14ac:dyDescent="0.3">
      <c r="A324" s="32">
        <f t="shared" si="28"/>
        <v>213</v>
      </c>
      <c r="B324" s="32"/>
      <c r="C324" s="74" t="s">
        <v>733</v>
      </c>
      <c r="D324" s="28" t="s">
        <v>785</v>
      </c>
      <c r="E324" s="28" t="s">
        <v>684</v>
      </c>
      <c r="F324" s="32" t="str">
        <f t="shared" si="27"/>
        <v>Found as per as expectations</v>
      </c>
      <c r="G324" s="32" t="s">
        <v>21</v>
      </c>
      <c r="H324" s="32" t="s">
        <v>712</v>
      </c>
      <c r="I324" s="44"/>
      <c r="J324" s="45"/>
      <c r="K324" s="36" t="s">
        <v>23</v>
      </c>
      <c r="L324" s="25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 spans="1:28" ht="30" customHeight="1" x14ac:dyDescent="0.3">
      <c r="A325" s="32">
        <f t="shared" si="28"/>
        <v>214</v>
      </c>
      <c r="B325" s="32"/>
      <c r="C325" s="74" t="s">
        <v>733</v>
      </c>
      <c r="D325" s="28" t="s">
        <v>786</v>
      </c>
      <c r="E325" s="28" t="s">
        <v>787</v>
      </c>
      <c r="F325" s="32" t="str">
        <f t="shared" si="27"/>
        <v>Found as per as expectations</v>
      </c>
      <c r="G325" s="32" t="s">
        <v>21</v>
      </c>
      <c r="H325" s="32" t="s">
        <v>712</v>
      </c>
      <c r="I325" s="24"/>
      <c r="J325" s="45"/>
      <c r="K325" s="36" t="s">
        <v>23</v>
      </c>
      <c r="L325" s="25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 spans="1:28" ht="30" customHeight="1" x14ac:dyDescent="0.3">
      <c r="A326" s="32">
        <f t="shared" si="28"/>
        <v>215</v>
      </c>
      <c r="B326" s="32"/>
      <c r="C326" s="74" t="s">
        <v>733</v>
      </c>
      <c r="D326" s="28" t="s">
        <v>788</v>
      </c>
      <c r="E326" s="28" t="s">
        <v>689</v>
      </c>
      <c r="F326" s="32" t="str">
        <f t="shared" si="27"/>
        <v>Found as per as expectations</v>
      </c>
      <c r="G326" s="32" t="s">
        <v>21</v>
      </c>
      <c r="H326" s="32" t="s">
        <v>712</v>
      </c>
      <c r="I326" s="44"/>
      <c r="J326" s="45"/>
      <c r="K326" s="36" t="s">
        <v>23</v>
      </c>
      <c r="L326" s="25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 spans="1:28" ht="30" customHeight="1" x14ac:dyDescent="0.3">
      <c r="A327" s="32">
        <f t="shared" si="28"/>
        <v>216</v>
      </c>
      <c r="B327" s="32"/>
      <c r="C327" s="74" t="s">
        <v>733</v>
      </c>
      <c r="D327" s="28" t="s">
        <v>789</v>
      </c>
      <c r="E327" s="28" t="s">
        <v>691</v>
      </c>
      <c r="F327" s="32" t="str">
        <f t="shared" si="27"/>
        <v>Found as per as expectations</v>
      </c>
      <c r="G327" s="32" t="s">
        <v>21</v>
      </c>
      <c r="H327" s="32" t="s">
        <v>712</v>
      </c>
      <c r="I327" s="44"/>
      <c r="J327" s="45"/>
      <c r="K327" s="36" t="s">
        <v>23</v>
      </c>
      <c r="L327" s="25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 spans="1:28" ht="30" customHeight="1" x14ac:dyDescent="0.3">
      <c r="A328" s="32">
        <f t="shared" si="28"/>
        <v>217</v>
      </c>
      <c r="B328" s="32"/>
      <c r="C328" s="74" t="s">
        <v>733</v>
      </c>
      <c r="D328" s="28" t="s">
        <v>790</v>
      </c>
      <c r="E328" s="28" t="s">
        <v>693</v>
      </c>
      <c r="F328" s="32" t="str">
        <f t="shared" si="27"/>
        <v>Found as per as expectations</v>
      </c>
      <c r="G328" s="32" t="s">
        <v>21</v>
      </c>
      <c r="H328" s="32" t="s">
        <v>712</v>
      </c>
      <c r="I328" s="44"/>
      <c r="J328" s="45"/>
      <c r="K328" s="36" t="s">
        <v>23</v>
      </c>
      <c r="L328" s="25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 spans="1:28" ht="30" customHeight="1" x14ac:dyDescent="0.3">
      <c r="A329" s="32">
        <f t="shared" si="28"/>
        <v>218</v>
      </c>
      <c r="B329" s="32"/>
      <c r="C329" s="74" t="s">
        <v>733</v>
      </c>
      <c r="D329" s="28" t="s">
        <v>791</v>
      </c>
      <c r="E329" s="28" t="s">
        <v>676</v>
      </c>
      <c r="F329" s="32" t="str">
        <f t="shared" si="27"/>
        <v>Found as per as expectations</v>
      </c>
      <c r="G329" s="32" t="s">
        <v>21</v>
      </c>
      <c r="H329" s="32" t="s">
        <v>712</v>
      </c>
      <c r="I329" s="44"/>
      <c r="J329" s="45"/>
      <c r="K329" s="36" t="s">
        <v>23</v>
      </c>
      <c r="L329" s="25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 spans="1:28" ht="30" customHeight="1" x14ac:dyDescent="0.3">
      <c r="A330" s="32">
        <f t="shared" si="28"/>
        <v>219</v>
      </c>
      <c r="B330" s="32"/>
      <c r="C330" s="74" t="s">
        <v>733</v>
      </c>
      <c r="D330" s="28" t="s">
        <v>792</v>
      </c>
      <c r="E330" s="28" t="s">
        <v>696</v>
      </c>
      <c r="F330" s="32" t="str">
        <f t="shared" si="27"/>
        <v>Found as per as expectations</v>
      </c>
      <c r="G330" s="32" t="s">
        <v>21</v>
      </c>
      <c r="H330" s="32" t="s">
        <v>712</v>
      </c>
      <c r="I330" s="44"/>
      <c r="J330" s="45"/>
      <c r="K330" s="36" t="s">
        <v>23</v>
      </c>
      <c r="L330" s="25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 spans="1:28" ht="30" customHeight="1" x14ac:dyDescent="0.3">
      <c r="A331" s="32">
        <f t="shared" si="28"/>
        <v>220</v>
      </c>
      <c r="B331" s="32"/>
      <c r="C331" s="74" t="s">
        <v>733</v>
      </c>
      <c r="D331" s="28" t="s">
        <v>793</v>
      </c>
      <c r="E331" s="28" t="s">
        <v>698</v>
      </c>
      <c r="F331" s="32" t="str">
        <f t="shared" si="27"/>
        <v>Found as per as expectations</v>
      </c>
      <c r="G331" s="32" t="s">
        <v>21</v>
      </c>
      <c r="H331" s="32" t="s">
        <v>712</v>
      </c>
      <c r="I331" s="44"/>
      <c r="J331" s="45"/>
      <c r="K331" s="36" t="s">
        <v>23</v>
      </c>
      <c r="L331" s="25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 spans="1:28" ht="30" customHeight="1" x14ac:dyDescent="0.3">
      <c r="A332" s="32">
        <f t="shared" si="28"/>
        <v>221</v>
      </c>
      <c r="B332" s="32"/>
      <c r="C332" s="74" t="s">
        <v>733</v>
      </c>
      <c r="D332" s="28" t="s">
        <v>794</v>
      </c>
      <c r="E332" s="28" t="s">
        <v>700</v>
      </c>
      <c r="F332" s="32" t="str">
        <f t="shared" si="27"/>
        <v>Found as per as expectations</v>
      </c>
      <c r="G332" s="32" t="s">
        <v>21</v>
      </c>
      <c r="H332" s="32" t="s">
        <v>712</v>
      </c>
      <c r="I332" s="44"/>
      <c r="J332" s="45"/>
      <c r="K332" s="36" t="s">
        <v>23</v>
      </c>
      <c r="L332" s="25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 spans="1:28" ht="30" customHeight="1" x14ac:dyDescent="0.3">
      <c r="A333" s="32">
        <f t="shared" si="28"/>
        <v>222</v>
      </c>
      <c r="B333" s="32"/>
      <c r="C333" s="74" t="s">
        <v>733</v>
      </c>
      <c r="D333" s="28" t="s">
        <v>795</v>
      </c>
      <c r="E333" s="28" t="s">
        <v>702</v>
      </c>
      <c r="F333" s="32" t="str">
        <f t="shared" si="27"/>
        <v>Found as per as expectations</v>
      </c>
      <c r="G333" s="32" t="s">
        <v>21</v>
      </c>
      <c r="H333" s="32" t="s">
        <v>712</v>
      </c>
      <c r="I333" s="44"/>
      <c r="J333" s="45"/>
      <c r="K333" s="36" t="s">
        <v>23</v>
      </c>
      <c r="L333" s="25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 spans="1:28" ht="30" customHeight="1" x14ac:dyDescent="0.3">
      <c r="A334" s="32">
        <f t="shared" si="28"/>
        <v>223</v>
      </c>
      <c r="B334" s="32"/>
      <c r="C334" s="74" t="s">
        <v>733</v>
      </c>
      <c r="D334" s="28" t="s">
        <v>796</v>
      </c>
      <c r="E334" s="28" t="s">
        <v>704</v>
      </c>
      <c r="F334" s="32" t="str">
        <f t="shared" si="27"/>
        <v>Found as per as expectations</v>
      </c>
      <c r="G334" s="32" t="s">
        <v>21</v>
      </c>
      <c r="H334" s="32" t="s">
        <v>712</v>
      </c>
      <c r="I334" s="44"/>
      <c r="J334" s="45"/>
      <c r="K334" s="36" t="s">
        <v>23</v>
      </c>
      <c r="L334" s="25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 spans="1:28" ht="30" customHeight="1" x14ac:dyDescent="0.3">
      <c r="A335" s="55" t="s">
        <v>753</v>
      </c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72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 spans="1:28" ht="30" customHeight="1" x14ac:dyDescent="0.3">
      <c r="A336" s="32">
        <f t="shared" ref="A336:A356" si="29">ROW()-335</f>
        <v>1</v>
      </c>
      <c r="B336" s="73" t="s">
        <v>17</v>
      </c>
      <c r="C336" s="28" t="s">
        <v>797</v>
      </c>
      <c r="D336" s="28" t="s">
        <v>798</v>
      </c>
      <c r="E336" s="28" t="s">
        <v>799</v>
      </c>
      <c r="F336" s="32" t="str">
        <f t="shared" ref="F336:F356" si="30">IF(K336="Passed","Found as per as expectations","Found not as per as exdpectations")</f>
        <v>Found as per as expectations</v>
      </c>
      <c r="G336" s="32" t="s">
        <v>21</v>
      </c>
      <c r="H336" s="32" t="s">
        <v>800</v>
      </c>
      <c r="I336" s="35"/>
      <c r="J336" s="33"/>
      <c r="K336" s="36" t="s">
        <v>23</v>
      </c>
      <c r="L336" s="25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 spans="1:28" ht="30" customHeight="1" x14ac:dyDescent="0.3">
      <c r="A337" s="32">
        <f t="shared" si="29"/>
        <v>2</v>
      </c>
      <c r="B337" s="32"/>
      <c r="C337" s="28" t="s">
        <v>801</v>
      </c>
      <c r="D337" s="28" t="s">
        <v>802</v>
      </c>
      <c r="E337" s="28" t="s">
        <v>803</v>
      </c>
      <c r="F337" s="32" t="str">
        <f t="shared" si="30"/>
        <v>Found as per as expectations</v>
      </c>
      <c r="G337" s="32" t="s">
        <v>21</v>
      </c>
      <c r="H337" s="32" t="s">
        <v>800</v>
      </c>
      <c r="I337" s="38"/>
      <c r="J337" s="39"/>
      <c r="K337" s="36" t="s">
        <v>23</v>
      </c>
      <c r="L337" s="25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 spans="1:28" ht="30" customHeight="1" x14ac:dyDescent="0.3">
      <c r="A338" s="32">
        <f t="shared" si="29"/>
        <v>3</v>
      </c>
      <c r="B338" s="32"/>
      <c r="C338" s="28" t="s">
        <v>804</v>
      </c>
      <c r="D338" s="28" t="s">
        <v>805</v>
      </c>
      <c r="E338" s="28" t="s">
        <v>806</v>
      </c>
      <c r="F338" s="32" t="str">
        <f t="shared" si="30"/>
        <v>Found as per as expectations</v>
      </c>
      <c r="G338" s="32" t="s">
        <v>21</v>
      </c>
      <c r="H338" s="32" t="s">
        <v>800</v>
      </c>
      <c r="I338" s="35"/>
      <c r="J338" s="40"/>
      <c r="K338" s="36" t="s">
        <v>23</v>
      </c>
      <c r="L338" s="25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 spans="1:28" ht="30" customHeight="1" x14ac:dyDescent="0.3">
      <c r="A339" s="32">
        <f t="shared" si="29"/>
        <v>4</v>
      </c>
      <c r="B339" s="32"/>
      <c r="C339" s="28" t="s">
        <v>807</v>
      </c>
      <c r="D339" s="28" t="s">
        <v>808</v>
      </c>
      <c r="E339" s="28" t="s">
        <v>809</v>
      </c>
      <c r="F339" s="32" t="str">
        <f t="shared" si="30"/>
        <v>Found as per as expectations</v>
      </c>
      <c r="G339" s="32" t="s">
        <v>21</v>
      </c>
      <c r="H339" s="32" t="s">
        <v>800</v>
      </c>
      <c r="I339" s="35"/>
      <c r="J339" s="40"/>
      <c r="K339" s="36" t="s">
        <v>23</v>
      </c>
      <c r="L339" s="25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 spans="1:28" ht="30" customHeight="1" x14ac:dyDescent="0.3">
      <c r="A340" s="32">
        <f t="shared" si="29"/>
        <v>5</v>
      </c>
      <c r="B340" s="32"/>
      <c r="C340" s="28" t="s">
        <v>476</v>
      </c>
      <c r="D340" s="28" t="s">
        <v>810</v>
      </c>
      <c r="E340" s="28" t="s">
        <v>811</v>
      </c>
      <c r="F340" s="32" t="str">
        <f t="shared" si="30"/>
        <v>Found as per as expectations</v>
      </c>
      <c r="G340" s="32" t="s">
        <v>21</v>
      </c>
      <c r="H340" s="32" t="s">
        <v>800</v>
      </c>
      <c r="I340" s="35"/>
      <c r="J340" s="40"/>
      <c r="K340" s="36" t="s">
        <v>23</v>
      </c>
      <c r="L340" s="25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 spans="1:28" ht="30" customHeight="1" x14ac:dyDescent="0.3">
      <c r="A341" s="32">
        <f t="shared" si="29"/>
        <v>6</v>
      </c>
      <c r="B341" s="32"/>
      <c r="C341" s="28" t="s">
        <v>76</v>
      </c>
      <c r="D341" s="28" t="s">
        <v>812</v>
      </c>
      <c r="E341" s="28" t="s">
        <v>813</v>
      </c>
      <c r="F341" s="32" t="str">
        <f t="shared" si="30"/>
        <v>Found as per as expectations</v>
      </c>
      <c r="G341" s="32" t="s">
        <v>21</v>
      </c>
      <c r="H341" s="32" t="s">
        <v>800</v>
      </c>
      <c r="I341" s="35"/>
      <c r="J341" s="40"/>
      <c r="K341" s="36" t="s">
        <v>23</v>
      </c>
      <c r="L341" s="25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 spans="1:28" ht="30" customHeight="1" x14ac:dyDescent="0.3">
      <c r="A342" s="32">
        <f t="shared" si="29"/>
        <v>7</v>
      </c>
      <c r="B342" s="32"/>
      <c r="C342" s="28" t="s">
        <v>76</v>
      </c>
      <c r="D342" s="28" t="s">
        <v>362</v>
      </c>
      <c r="E342" s="28" t="s">
        <v>814</v>
      </c>
      <c r="F342" s="32" t="str">
        <f t="shared" si="30"/>
        <v>Found not as per as exdpectations</v>
      </c>
      <c r="G342" s="32" t="s">
        <v>21</v>
      </c>
      <c r="H342" s="32" t="s">
        <v>800</v>
      </c>
      <c r="I342" s="65" t="s">
        <v>57</v>
      </c>
      <c r="J342" s="40"/>
      <c r="K342" s="36" t="s">
        <v>58</v>
      </c>
      <c r="L342" s="25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 spans="1:28" ht="30" customHeight="1" x14ac:dyDescent="0.3">
      <c r="A343" s="32">
        <f t="shared" si="29"/>
        <v>8</v>
      </c>
      <c r="B343" s="56" t="s">
        <v>601</v>
      </c>
      <c r="C343" s="28" t="s">
        <v>815</v>
      </c>
      <c r="D343" s="28" t="s">
        <v>816</v>
      </c>
      <c r="E343" s="28" t="s">
        <v>817</v>
      </c>
      <c r="F343" s="32" t="str">
        <f t="shared" si="30"/>
        <v>Found as per as expectations</v>
      </c>
      <c r="G343" s="32" t="s">
        <v>818</v>
      </c>
      <c r="H343" s="32" t="s">
        <v>800</v>
      </c>
      <c r="I343" s="35"/>
      <c r="J343" s="40"/>
      <c r="K343" s="36" t="s">
        <v>23</v>
      </c>
      <c r="L343" s="25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 spans="1:28" ht="30" customHeight="1" x14ac:dyDescent="0.3">
      <c r="A344" s="32">
        <f t="shared" si="29"/>
        <v>9</v>
      </c>
      <c r="B344" s="32"/>
      <c r="C344" s="28" t="s">
        <v>815</v>
      </c>
      <c r="D344" s="28" t="s">
        <v>819</v>
      </c>
      <c r="E344" s="28" t="s">
        <v>820</v>
      </c>
      <c r="F344" s="32" t="str">
        <f t="shared" si="30"/>
        <v>Found not as per as exdpectations</v>
      </c>
      <c r="G344" s="32" t="s">
        <v>821</v>
      </c>
      <c r="H344" s="32" t="s">
        <v>800</v>
      </c>
      <c r="I344" s="65" t="s">
        <v>57</v>
      </c>
      <c r="J344" s="40"/>
      <c r="K344" s="36" t="s">
        <v>58</v>
      </c>
      <c r="L344" s="25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 spans="1:28" ht="30" customHeight="1" x14ac:dyDescent="0.3">
      <c r="A345" s="32">
        <f t="shared" si="29"/>
        <v>10</v>
      </c>
      <c r="B345" s="32"/>
      <c r="C345" s="28" t="s">
        <v>822</v>
      </c>
      <c r="D345" s="28" t="s">
        <v>823</v>
      </c>
      <c r="E345" s="28" t="s">
        <v>824</v>
      </c>
      <c r="F345" s="32" t="str">
        <f t="shared" si="30"/>
        <v>Found as per as expectations</v>
      </c>
      <c r="G345" s="32" t="s">
        <v>825</v>
      </c>
      <c r="H345" s="32" t="s">
        <v>800</v>
      </c>
      <c r="I345" s="35"/>
      <c r="J345" s="40"/>
      <c r="K345" s="36" t="s">
        <v>23</v>
      </c>
      <c r="L345" s="25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 spans="1:28" ht="30" customHeight="1" x14ac:dyDescent="0.3">
      <c r="A346" s="32">
        <f t="shared" si="29"/>
        <v>11</v>
      </c>
      <c r="B346" s="32"/>
      <c r="C346" s="28" t="s">
        <v>822</v>
      </c>
      <c r="D346" s="28" t="s">
        <v>826</v>
      </c>
      <c r="E346" s="28" t="s">
        <v>827</v>
      </c>
      <c r="F346" s="32" t="str">
        <f t="shared" si="30"/>
        <v>Found as per as expectations</v>
      </c>
      <c r="G346" s="32">
        <v>123</v>
      </c>
      <c r="H346" s="32" t="s">
        <v>800</v>
      </c>
      <c r="I346" s="35"/>
      <c r="J346" s="40"/>
      <c r="K346" s="36" t="s">
        <v>23</v>
      </c>
      <c r="L346" s="25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 spans="1:28" ht="30" customHeight="1" x14ac:dyDescent="0.3">
      <c r="A347" s="32">
        <f t="shared" si="29"/>
        <v>12</v>
      </c>
      <c r="B347" s="32"/>
      <c r="C347" s="28" t="s">
        <v>822</v>
      </c>
      <c r="D347" s="28" t="s">
        <v>828</v>
      </c>
      <c r="E347" s="28" t="s">
        <v>827</v>
      </c>
      <c r="F347" s="32" t="str">
        <f t="shared" si="30"/>
        <v>Found as per as expectations</v>
      </c>
      <c r="G347" s="32">
        <v>123456789123456</v>
      </c>
      <c r="H347" s="32" t="s">
        <v>800</v>
      </c>
      <c r="I347" s="35"/>
      <c r="J347" s="40"/>
      <c r="K347" s="36" t="s">
        <v>23</v>
      </c>
      <c r="L347" s="25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 spans="1:28" ht="30" customHeight="1" x14ac:dyDescent="0.3">
      <c r="A348" s="32">
        <f t="shared" si="29"/>
        <v>13</v>
      </c>
      <c r="B348" s="32"/>
      <c r="C348" s="28" t="s">
        <v>429</v>
      </c>
      <c r="D348" s="28" t="s">
        <v>829</v>
      </c>
      <c r="E348" s="28" t="s">
        <v>830</v>
      </c>
      <c r="F348" s="32" t="str">
        <f t="shared" si="30"/>
        <v>Found as per as expectations</v>
      </c>
      <c r="G348" s="32" t="s">
        <v>168</v>
      </c>
      <c r="H348" s="32" t="s">
        <v>800</v>
      </c>
      <c r="I348" s="35"/>
      <c r="J348" s="40"/>
      <c r="K348" s="36" t="s">
        <v>23</v>
      </c>
      <c r="L348" s="25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 spans="1:28" ht="30" customHeight="1" x14ac:dyDescent="0.3">
      <c r="A349" s="32">
        <f t="shared" si="29"/>
        <v>14</v>
      </c>
      <c r="B349" s="32"/>
      <c r="C349" s="28" t="s">
        <v>429</v>
      </c>
      <c r="D349" s="28" t="s">
        <v>831</v>
      </c>
      <c r="E349" s="28" t="s">
        <v>832</v>
      </c>
      <c r="F349" s="32" t="str">
        <f t="shared" si="30"/>
        <v>Found as per as expectations</v>
      </c>
      <c r="G349" s="28" t="s">
        <v>833</v>
      </c>
      <c r="H349" s="32" t="s">
        <v>800</v>
      </c>
      <c r="I349" s="35"/>
      <c r="J349" s="40"/>
      <c r="K349" s="36" t="s">
        <v>23</v>
      </c>
      <c r="L349" s="25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 spans="1:28" ht="30" customHeight="1" x14ac:dyDescent="0.3">
      <c r="A350" s="32">
        <f t="shared" si="29"/>
        <v>15</v>
      </c>
      <c r="B350" s="33" t="s">
        <v>71</v>
      </c>
      <c r="C350" s="28" t="s">
        <v>804</v>
      </c>
      <c r="D350" s="28" t="s">
        <v>834</v>
      </c>
      <c r="E350" s="28" t="s">
        <v>835</v>
      </c>
      <c r="F350" s="32" t="str">
        <f t="shared" si="30"/>
        <v>Found as per as expectations</v>
      </c>
      <c r="G350" s="32" t="s">
        <v>21</v>
      </c>
      <c r="H350" s="32" t="s">
        <v>800</v>
      </c>
      <c r="I350" s="35"/>
      <c r="J350" s="40"/>
      <c r="K350" s="36" t="s">
        <v>23</v>
      </c>
      <c r="L350" s="25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 spans="1:28" ht="30" customHeight="1" x14ac:dyDescent="0.3">
      <c r="A351" s="32">
        <f t="shared" si="29"/>
        <v>16</v>
      </c>
      <c r="B351" s="32"/>
      <c r="C351" s="28" t="s">
        <v>807</v>
      </c>
      <c r="D351" s="28" t="s">
        <v>836</v>
      </c>
      <c r="E351" s="28" t="s">
        <v>837</v>
      </c>
      <c r="F351" s="32" t="str">
        <f t="shared" si="30"/>
        <v>Found as per as expectations</v>
      </c>
      <c r="G351" s="32" t="s">
        <v>838</v>
      </c>
      <c r="H351" s="32" t="s">
        <v>800</v>
      </c>
      <c r="I351" s="35"/>
      <c r="J351" s="40"/>
      <c r="K351" s="36" t="s">
        <v>23</v>
      </c>
      <c r="L351" s="25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 spans="1:28" ht="30" customHeight="1" x14ac:dyDescent="0.3">
      <c r="A352" s="32">
        <f t="shared" si="29"/>
        <v>17</v>
      </c>
      <c r="B352" s="32"/>
      <c r="C352" s="28" t="s">
        <v>839</v>
      </c>
      <c r="D352" s="28" t="s">
        <v>840</v>
      </c>
      <c r="E352" s="28" t="s">
        <v>841</v>
      </c>
      <c r="F352" s="32" t="str">
        <f t="shared" si="30"/>
        <v>Found as per as expectations</v>
      </c>
      <c r="G352" s="32" t="s">
        <v>21</v>
      </c>
      <c r="H352" s="32" t="s">
        <v>800</v>
      </c>
      <c r="I352" s="35"/>
      <c r="J352" s="40"/>
      <c r="K352" s="36" t="s">
        <v>23</v>
      </c>
      <c r="L352" s="25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 spans="1:28" ht="30" customHeight="1" x14ac:dyDescent="0.3">
      <c r="A353" s="32">
        <f t="shared" si="29"/>
        <v>18</v>
      </c>
      <c r="B353" s="32"/>
      <c r="C353" s="28" t="s">
        <v>839</v>
      </c>
      <c r="D353" s="28" t="s">
        <v>842</v>
      </c>
      <c r="E353" s="28" t="s">
        <v>843</v>
      </c>
      <c r="F353" s="32" t="str">
        <f t="shared" si="30"/>
        <v>Found not as per as exdpectations</v>
      </c>
      <c r="G353" s="32" t="s">
        <v>21</v>
      </c>
      <c r="H353" s="32" t="s">
        <v>800</v>
      </c>
      <c r="I353" s="65" t="s">
        <v>57</v>
      </c>
      <c r="J353" s="40"/>
      <c r="K353" s="36" t="s">
        <v>58</v>
      </c>
      <c r="L353" s="25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 spans="1:28" ht="30" customHeight="1" x14ac:dyDescent="0.3">
      <c r="A354" s="32">
        <f t="shared" si="29"/>
        <v>19</v>
      </c>
      <c r="B354" s="32"/>
      <c r="C354" s="28" t="s">
        <v>844</v>
      </c>
      <c r="D354" s="28" t="s">
        <v>845</v>
      </c>
      <c r="E354" s="28" t="s">
        <v>846</v>
      </c>
      <c r="F354" s="32" t="str">
        <f t="shared" si="30"/>
        <v>Found not as per as exdpectations</v>
      </c>
      <c r="G354" s="32" t="s">
        <v>21</v>
      </c>
      <c r="H354" s="32" t="s">
        <v>800</v>
      </c>
      <c r="I354" s="65" t="s">
        <v>57</v>
      </c>
      <c r="J354" s="40"/>
      <c r="K354" s="36" t="s">
        <v>58</v>
      </c>
      <c r="L354" s="25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 spans="1:28" ht="30" customHeight="1" x14ac:dyDescent="0.3">
      <c r="A355" s="32">
        <f t="shared" si="29"/>
        <v>20</v>
      </c>
      <c r="B355" s="32"/>
      <c r="C355" s="74" t="s">
        <v>847</v>
      </c>
      <c r="D355" s="28" t="s">
        <v>848</v>
      </c>
      <c r="E355" s="28" t="s">
        <v>843</v>
      </c>
      <c r="F355" s="32" t="str">
        <f t="shared" si="30"/>
        <v>Found as per as expectations</v>
      </c>
      <c r="G355" s="32" t="s">
        <v>21</v>
      </c>
      <c r="H355" s="32" t="s">
        <v>800</v>
      </c>
      <c r="I355" s="35"/>
      <c r="J355" s="40"/>
      <c r="K355" s="36" t="s">
        <v>23</v>
      </c>
      <c r="L355" s="25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 spans="1:28" ht="30" customHeight="1" x14ac:dyDescent="0.3">
      <c r="A356" s="32">
        <f t="shared" si="29"/>
        <v>21</v>
      </c>
      <c r="B356" s="32"/>
      <c r="C356" s="74" t="s">
        <v>849</v>
      </c>
      <c r="D356" s="28" t="s">
        <v>850</v>
      </c>
      <c r="E356" s="28" t="s">
        <v>843</v>
      </c>
      <c r="F356" s="32" t="str">
        <f t="shared" si="30"/>
        <v>Found as per as expectations</v>
      </c>
      <c r="G356" s="32" t="s">
        <v>21</v>
      </c>
      <c r="H356" s="32" t="s">
        <v>800</v>
      </c>
      <c r="I356" s="35"/>
      <c r="J356" s="40"/>
      <c r="K356" s="36" t="s">
        <v>23</v>
      </c>
      <c r="L356" s="25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 spans="1:28" ht="30" customHeight="1" x14ac:dyDescent="0.3">
      <c r="A357" s="55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72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 spans="1:28" ht="30" customHeight="1" x14ac:dyDescent="0.3">
      <c r="A358" s="32"/>
      <c r="B358" s="73"/>
      <c r="C358" s="28"/>
      <c r="D358" s="28"/>
      <c r="E358" s="28"/>
      <c r="F358" s="32"/>
      <c r="G358" s="32"/>
      <c r="H358" s="32"/>
      <c r="I358" s="35"/>
      <c r="J358" s="33"/>
      <c r="K358" s="36"/>
      <c r="L358" s="25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 spans="1:28" ht="30" customHeight="1" x14ac:dyDescent="0.3">
      <c r="A359" s="32"/>
      <c r="B359" s="32"/>
      <c r="C359" s="28"/>
      <c r="D359" s="28"/>
      <c r="E359" s="28"/>
      <c r="F359" s="32"/>
      <c r="G359" s="32"/>
      <c r="H359" s="32"/>
      <c r="I359" s="35"/>
      <c r="J359" s="40"/>
      <c r="K359" s="36"/>
      <c r="L359" s="25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 spans="1:28" ht="30" customHeight="1" x14ac:dyDescent="0.3">
      <c r="A360" s="32"/>
      <c r="B360" s="32"/>
      <c r="C360" s="28"/>
      <c r="D360" s="28"/>
      <c r="E360" s="28"/>
      <c r="F360" s="32"/>
      <c r="G360" s="32"/>
      <c r="H360" s="32"/>
      <c r="I360" s="35"/>
      <c r="J360" s="40"/>
      <c r="K360" s="36"/>
      <c r="L360" s="25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 spans="1:28" ht="30" customHeight="1" x14ac:dyDescent="0.3">
      <c r="A361" s="32"/>
      <c r="B361" s="32"/>
      <c r="C361" s="28"/>
      <c r="D361" s="28"/>
      <c r="E361" s="28"/>
      <c r="F361" s="32"/>
      <c r="G361" s="32"/>
      <c r="H361" s="32"/>
      <c r="I361" s="65"/>
      <c r="J361" s="40"/>
      <c r="K361" s="36"/>
      <c r="L361" s="25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 spans="1:28" ht="30" customHeight="1" x14ac:dyDescent="0.3">
      <c r="A362" s="32"/>
      <c r="B362" s="56"/>
      <c r="C362" s="28"/>
      <c r="D362" s="28"/>
      <c r="E362" s="28"/>
      <c r="F362" s="32"/>
      <c r="G362" s="32"/>
      <c r="H362" s="32"/>
      <c r="I362" s="35"/>
      <c r="J362" s="40"/>
      <c r="K362" s="36"/>
      <c r="L362" s="25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 spans="1:28" ht="30" customHeight="1" x14ac:dyDescent="0.3">
      <c r="A363" s="32"/>
      <c r="B363" s="32"/>
      <c r="C363" s="28"/>
      <c r="D363" s="28"/>
      <c r="E363" s="28"/>
      <c r="F363" s="32"/>
      <c r="G363" s="32"/>
      <c r="H363" s="32"/>
      <c r="I363" s="65"/>
      <c r="J363" s="40"/>
      <c r="K363" s="36"/>
      <c r="L363" s="25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 spans="1:28" ht="30" customHeight="1" x14ac:dyDescent="0.3">
      <c r="A364" s="32"/>
      <c r="B364" s="32"/>
      <c r="C364" s="28"/>
      <c r="D364" s="28"/>
      <c r="E364" s="28"/>
      <c r="F364" s="32"/>
      <c r="G364" s="32"/>
      <c r="H364" s="32"/>
      <c r="I364" s="35"/>
      <c r="J364" s="40"/>
      <c r="K364" s="36"/>
      <c r="L364" s="25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 spans="1:28" ht="30" customHeight="1" x14ac:dyDescent="0.3">
      <c r="A365" s="32"/>
      <c r="B365" s="32"/>
      <c r="C365" s="28"/>
      <c r="D365" s="28"/>
      <c r="E365" s="28"/>
      <c r="F365" s="32"/>
      <c r="G365" s="32"/>
      <c r="H365" s="32"/>
      <c r="I365" s="35"/>
      <c r="J365" s="40"/>
      <c r="K365" s="36"/>
      <c r="L365" s="25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 spans="1:28" ht="30" customHeight="1" x14ac:dyDescent="0.3">
      <c r="A366" s="32"/>
      <c r="B366" s="32"/>
      <c r="C366" s="28"/>
      <c r="D366" s="28"/>
      <c r="E366" s="28"/>
      <c r="F366" s="32"/>
      <c r="G366" s="32"/>
      <c r="H366" s="32"/>
      <c r="I366" s="35"/>
      <c r="J366" s="40"/>
      <c r="K366" s="36"/>
      <c r="L366" s="25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 spans="1:28" ht="30" customHeight="1" x14ac:dyDescent="0.3">
      <c r="A367" s="32"/>
      <c r="B367" s="32"/>
      <c r="C367" s="28"/>
      <c r="D367" s="28"/>
      <c r="E367" s="28"/>
      <c r="F367" s="32"/>
      <c r="G367" s="32"/>
      <c r="H367" s="32"/>
      <c r="I367" s="35"/>
      <c r="J367" s="40"/>
      <c r="K367" s="36"/>
      <c r="L367" s="25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 spans="1:28" ht="30" customHeight="1" x14ac:dyDescent="0.3">
      <c r="A368" s="32"/>
      <c r="B368" s="32"/>
      <c r="C368" s="28"/>
      <c r="D368" s="28"/>
      <c r="E368" s="28"/>
      <c r="F368" s="32"/>
      <c r="G368" s="32"/>
      <c r="H368" s="32"/>
      <c r="I368" s="65"/>
      <c r="J368" s="40"/>
      <c r="K368" s="36"/>
      <c r="L368" s="25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 spans="1:28" ht="30" customHeight="1" x14ac:dyDescent="0.3">
      <c r="A369" s="32"/>
      <c r="B369" s="32"/>
      <c r="C369" s="25"/>
      <c r="D369" s="25"/>
      <c r="E369" s="25"/>
      <c r="F369" s="32"/>
      <c r="G369" s="32"/>
      <c r="H369" s="32"/>
      <c r="I369" s="65"/>
      <c r="J369" s="40"/>
      <c r="K369" s="36"/>
      <c r="L369" s="25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 spans="1:28" ht="30" customHeight="1" x14ac:dyDescent="0.3">
      <c r="A370" s="32"/>
      <c r="B370" s="33"/>
      <c r="C370" s="28"/>
      <c r="D370" s="28"/>
      <c r="E370" s="28"/>
      <c r="F370" s="32"/>
      <c r="G370" s="32"/>
      <c r="H370" s="32"/>
      <c r="I370" s="35"/>
      <c r="J370" s="40"/>
      <c r="K370" s="36"/>
      <c r="L370" s="25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 spans="1:28" ht="30" customHeight="1" x14ac:dyDescent="0.3">
      <c r="A371" s="32"/>
      <c r="B371" s="32"/>
      <c r="C371" s="28"/>
      <c r="D371" s="28"/>
      <c r="E371" s="28"/>
      <c r="F371" s="32"/>
      <c r="G371" s="32"/>
      <c r="H371" s="32"/>
      <c r="I371" s="35"/>
      <c r="J371" s="40"/>
      <c r="K371" s="36"/>
      <c r="L371" s="25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 spans="1:28" ht="30" customHeight="1" x14ac:dyDescent="0.3">
      <c r="A372" s="75"/>
      <c r="B372" s="76"/>
      <c r="C372" s="75"/>
      <c r="D372" s="76"/>
      <c r="E372" s="75"/>
      <c r="F372" s="75"/>
      <c r="G372" s="77"/>
      <c r="H372" s="75"/>
      <c r="I372" s="78"/>
      <c r="J372" s="75"/>
      <c r="K372" s="75"/>
      <c r="L372" s="76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</row>
    <row r="373" spans="1:28" ht="30" customHeight="1" x14ac:dyDescent="0.3">
      <c r="A373" s="79"/>
      <c r="B373" s="80"/>
      <c r="C373" s="79"/>
      <c r="D373" s="80"/>
      <c r="E373" s="79"/>
      <c r="F373" s="79"/>
      <c r="G373" s="81"/>
      <c r="H373" s="79"/>
      <c r="I373" s="82"/>
      <c r="J373" s="79"/>
      <c r="K373" s="79"/>
      <c r="L373" s="80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 spans="1:28" ht="30" customHeight="1" x14ac:dyDescent="0.3">
      <c r="A374" s="79"/>
      <c r="B374" s="80"/>
      <c r="C374" s="79"/>
      <c r="D374" s="80"/>
      <c r="E374" s="79"/>
      <c r="F374" s="79"/>
      <c r="G374" s="81"/>
      <c r="H374" s="79"/>
      <c r="I374" s="82"/>
      <c r="J374" s="79"/>
      <c r="K374" s="79"/>
      <c r="L374" s="80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 spans="1:28" ht="30" customHeight="1" x14ac:dyDescent="0.3">
      <c r="A375" s="79"/>
      <c r="B375" s="80"/>
      <c r="C375" s="79"/>
      <c r="D375" s="80"/>
      <c r="E375" s="79"/>
      <c r="F375" s="79"/>
      <c r="G375" s="81"/>
      <c r="H375" s="79"/>
      <c r="I375" s="82"/>
      <c r="J375" s="79"/>
      <c r="K375" s="79"/>
      <c r="L375" s="80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 spans="1:28" ht="30" customHeight="1" x14ac:dyDescent="0.3">
      <c r="A376" s="79"/>
      <c r="B376" s="80"/>
      <c r="C376" s="79"/>
      <c r="D376" s="80"/>
      <c r="E376" s="79"/>
      <c r="F376" s="79"/>
      <c r="G376" s="81"/>
      <c r="H376" s="79"/>
      <c r="I376" s="82"/>
      <c r="J376" s="79"/>
      <c r="K376" s="79"/>
      <c r="L376" s="80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 spans="1:28" ht="30" customHeight="1" x14ac:dyDescent="0.3">
      <c r="A377" s="79"/>
      <c r="B377" s="80"/>
      <c r="C377" s="79"/>
      <c r="D377" s="80"/>
      <c r="E377" s="79"/>
      <c r="F377" s="79"/>
      <c r="G377" s="81"/>
      <c r="H377" s="79"/>
      <c r="I377" s="82"/>
      <c r="J377" s="79"/>
      <c r="K377" s="79"/>
      <c r="L377" s="80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 spans="1:28" ht="30" customHeight="1" x14ac:dyDescent="0.3">
      <c r="A378" s="79"/>
      <c r="B378" s="80"/>
      <c r="C378" s="79"/>
      <c r="D378" s="80"/>
      <c r="E378" s="79"/>
      <c r="F378" s="79"/>
      <c r="G378" s="81"/>
      <c r="H378" s="79"/>
      <c r="I378" s="82"/>
      <c r="J378" s="79"/>
      <c r="K378" s="79"/>
      <c r="L378" s="80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 spans="1:28" ht="30" customHeight="1" x14ac:dyDescent="0.3">
      <c r="A379" s="79"/>
      <c r="B379" s="80"/>
      <c r="C379" s="79"/>
      <c r="D379" s="80"/>
      <c r="E379" s="79"/>
      <c r="F379" s="79"/>
      <c r="G379" s="81"/>
      <c r="H379" s="79"/>
      <c r="I379" s="82"/>
      <c r="J379" s="79"/>
      <c r="K379" s="79"/>
      <c r="L379" s="80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 spans="1:28" ht="30" customHeight="1" x14ac:dyDescent="0.3">
      <c r="A380" s="79"/>
      <c r="B380" s="80"/>
      <c r="C380" s="79"/>
      <c r="D380" s="80"/>
      <c r="E380" s="79"/>
      <c r="F380" s="79"/>
      <c r="G380" s="81"/>
      <c r="H380" s="79"/>
      <c r="I380" s="82"/>
      <c r="J380" s="79"/>
      <c r="K380" s="79"/>
      <c r="L380" s="80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 spans="1:28" ht="30" customHeight="1" x14ac:dyDescent="0.3">
      <c r="A381" s="79"/>
      <c r="B381" s="80"/>
      <c r="C381" s="79"/>
      <c r="D381" s="80"/>
      <c r="E381" s="79"/>
      <c r="F381" s="79"/>
      <c r="G381" s="81"/>
      <c r="H381" s="79"/>
      <c r="I381" s="82"/>
      <c r="J381" s="79"/>
      <c r="K381" s="79"/>
      <c r="L381" s="80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 spans="1:28" ht="30" customHeight="1" x14ac:dyDescent="0.3">
      <c r="A382" s="79"/>
      <c r="B382" s="80"/>
      <c r="C382" s="79"/>
      <c r="D382" s="80"/>
      <c r="E382" s="79"/>
      <c r="F382" s="79"/>
      <c r="G382" s="81"/>
      <c r="H382" s="79"/>
      <c r="I382" s="82"/>
      <c r="J382" s="79"/>
      <c r="K382" s="79"/>
      <c r="L382" s="80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 spans="1:28" ht="30" customHeight="1" x14ac:dyDescent="0.3">
      <c r="A383" s="79"/>
      <c r="B383" s="80"/>
      <c r="C383" s="79"/>
      <c r="D383" s="80"/>
      <c r="E383" s="79"/>
      <c r="F383" s="79"/>
      <c r="G383" s="81"/>
      <c r="H383" s="79"/>
      <c r="I383" s="82"/>
      <c r="J383" s="79"/>
      <c r="K383" s="79"/>
      <c r="L383" s="80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 spans="1:28" ht="30" customHeight="1" x14ac:dyDescent="0.3">
      <c r="A384" s="79"/>
      <c r="B384" s="80"/>
      <c r="C384" s="79"/>
      <c r="D384" s="80"/>
      <c r="E384" s="79"/>
      <c r="F384" s="79"/>
      <c r="G384" s="81"/>
      <c r="H384" s="79"/>
      <c r="I384" s="82"/>
      <c r="J384" s="79"/>
      <c r="K384" s="79"/>
      <c r="L384" s="80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 spans="1:28" ht="30" customHeight="1" x14ac:dyDescent="0.3">
      <c r="A385" s="79"/>
      <c r="B385" s="80"/>
      <c r="C385" s="79"/>
      <c r="D385" s="80"/>
      <c r="E385" s="79"/>
      <c r="F385" s="79"/>
      <c r="G385" s="81"/>
      <c r="H385" s="79"/>
      <c r="I385" s="82"/>
      <c r="J385" s="79"/>
      <c r="K385" s="79"/>
      <c r="L385" s="80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 spans="1:28" ht="30" customHeight="1" x14ac:dyDescent="0.3">
      <c r="A386" s="79"/>
      <c r="B386" s="80"/>
      <c r="C386" s="79"/>
      <c r="D386" s="80"/>
      <c r="E386" s="79"/>
      <c r="F386" s="79"/>
      <c r="G386" s="81"/>
      <c r="H386" s="79"/>
      <c r="I386" s="82"/>
      <c r="J386" s="79"/>
      <c r="K386" s="79"/>
      <c r="L386" s="80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 spans="1:28" ht="30" customHeight="1" x14ac:dyDescent="0.3">
      <c r="A387" s="79"/>
      <c r="B387" s="80"/>
      <c r="C387" s="79"/>
      <c r="D387" s="80"/>
      <c r="E387" s="79"/>
      <c r="F387" s="79"/>
      <c r="G387" s="81"/>
      <c r="H387" s="79"/>
      <c r="I387" s="82"/>
      <c r="J387" s="79"/>
      <c r="K387" s="79"/>
      <c r="L387" s="80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 spans="1:28" ht="30" customHeight="1" x14ac:dyDescent="0.3">
      <c r="A388" s="79"/>
      <c r="B388" s="80"/>
      <c r="C388" s="79"/>
      <c r="D388" s="80"/>
      <c r="E388" s="79"/>
      <c r="F388" s="79"/>
      <c r="G388" s="81"/>
      <c r="H388" s="79"/>
      <c r="I388" s="82"/>
      <c r="J388" s="79"/>
      <c r="K388" s="79"/>
      <c r="L388" s="80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 spans="1:28" ht="30" customHeight="1" x14ac:dyDescent="0.3">
      <c r="A389" s="79"/>
      <c r="B389" s="80"/>
      <c r="C389" s="79"/>
      <c r="D389" s="80"/>
      <c r="E389" s="79"/>
      <c r="F389" s="79"/>
      <c r="G389" s="81"/>
      <c r="H389" s="79"/>
      <c r="I389" s="82"/>
      <c r="J389" s="79"/>
      <c r="K389" s="79"/>
      <c r="L389" s="80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 spans="1:28" ht="30" customHeight="1" x14ac:dyDescent="0.3">
      <c r="A390" s="79"/>
      <c r="B390" s="80"/>
      <c r="C390" s="79"/>
      <c r="D390" s="80"/>
      <c r="E390" s="79"/>
      <c r="F390" s="79"/>
      <c r="G390" s="81"/>
      <c r="H390" s="79"/>
      <c r="I390" s="82"/>
      <c r="J390" s="79"/>
      <c r="K390" s="79"/>
      <c r="L390" s="80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 spans="1:28" ht="30" customHeight="1" x14ac:dyDescent="0.3">
      <c r="A391" s="79"/>
      <c r="B391" s="80"/>
      <c r="C391" s="79"/>
      <c r="D391" s="80"/>
      <c r="E391" s="79"/>
      <c r="F391" s="79"/>
      <c r="G391" s="81"/>
      <c r="H391" s="79"/>
      <c r="I391" s="82"/>
      <c r="J391" s="79"/>
      <c r="K391" s="79"/>
      <c r="L391" s="80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 spans="1:28" ht="30" customHeight="1" x14ac:dyDescent="0.3">
      <c r="A392" s="79"/>
      <c r="B392" s="80"/>
      <c r="C392" s="79"/>
      <c r="D392" s="80"/>
      <c r="E392" s="79"/>
      <c r="F392" s="79"/>
      <c r="G392" s="81"/>
      <c r="H392" s="79"/>
      <c r="I392" s="82"/>
      <c r="J392" s="79"/>
      <c r="K392" s="79"/>
      <c r="L392" s="80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 spans="1:28" ht="30" customHeight="1" x14ac:dyDescent="0.3">
      <c r="A393" s="79"/>
      <c r="B393" s="80"/>
      <c r="C393" s="79"/>
      <c r="D393" s="80"/>
      <c r="E393" s="79"/>
      <c r="F393" s="79"/>
      <c r="G393" s="81"/>
      <c r="H393" s="79"/>
      <c r="I393" s="82"/>
      <c r="J393" s="79"/>
      <c r="K393" s="79"/>
      <c r="L393" s="80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 spans="1:28" ht="30" customHeight="1" x14ac:dyDescent="0.3">
      <c r="A394" s="79"/>
      <c r="B394" s="80"/>
      <c r="C394" s="79"/>
      <c r="D394" s="80"/>
      <c r="E394" s="79"/>
      <c r="F394" s="79"/>
      <c r="G394" s="81"/>
      <c r="H394" s="79"/>
      <c r="I394" s="82"/>
      <c r="J394" s="79"/>
      <c r="K394" s="79"/>
      <c r="L394" s="80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 spans="1:28" ht="30" customHeight="1" x14ac:dyDescent="0.3">
      <c r="A395" s="79"/>
      <c r="B395" s="80"/>
      <c r="C395" s="79"/>
      <c r="D395" s="80"/>
      <c r="E395" s="79"/>
      <c r="F395" s="79"/>
      <c r="G395" s="81"/>
      <c r="H395" s="79"/>
      <c r="I395" s="82"/>
      <c r="J395" s="79"/>
      <c r="K395" s="79"/>
      <c r="L395" s="80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 spans="1:28" ht="30" customHeight="1" x14ac:dyDescent="0.3">
      <c r="A396" s="79"/>
      <c r="B396" s="80"/>
      <c r="C396" s="79"/>
      <c r="D396" s="80"/>
      <c r="E396" s="79"/>
      <c r="F396" s="79"/>
      <c r="G396" s="81"/>
      <c r="H396" s="79"/>
      <c r="I396" s="82"/>
      <c r="J396" s="79"/>
      <c r="K396" s="79"/>
      <c r="L396" s="80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 spans="1:28" ht="30" customHeight="1" x14ac:dyDescent="0.3">
      <c r="A397" s="79"/>
      <c r="B397" s="80"/>
      <c r="C397" s="79"/>
      <c r="D397" s="80"/>
      <c r="E397" s="79"/>
      <c r="F397" s="79"/>
      <c r="G397" s="81"/>
      <c r="H397" s="79"/>
      <c r="I397" s="82"/>
      <c r="J397" s="79"/>
      <c r="K397" s="79"/>
      <c r="L397" s="80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 spans="1:28" ht="30" customHeight="1" x14ac:dyDescent="0.3">
      <c r="A398" s="79"/>
      <c r="B398" s="80"/>
      <c r="C398" s="79"/>
      <c r="D398" s="80"/>
      <c r="E398" s="79"/>
      <c r="F398" s="79"/>
      <c r="G398" s="81"/>
      <c r="H398" s="79"/>
      <c r="I398" s="82"/>
      <c r="J398" s="79"/>
      <c r="K398" s="79"/>
      <c r="L398" s="80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 spans="1:28" ht="30" customHeight="1" x14ac:dyDescent="0.3">
      <c r="A399" s="79"/>
      <c r="B399" s="80"/>
      <c r="C399" s="79"/>
      <c r="D399" s="80"/>
      <c r="E399" s="79"/>
      <c r="F399" s="79"/>
      <c r="G399" s="81"/>
      <c r="H399" s="79"/>
      <c r="I399" s="82"/>
      <c r="J399" s="79"/>
      <c r="K399" s="79"/>
      <c r="L399" s="80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 spans="1:28" ht="30" customHeight="1" x14ac:dyDescent="0.3">
      <c r="A400" s="79"/>
      <c r="B400" s="80"/>
      <c r="C400" s="79"/>
      <c r="D400" s="80"/>
      <c r="E400" s="79"/>
      <c r="F400" s="79"/>
      <c r="G400" s="81"/>
      <c r="H400" s="79"/>
      <c r="I400" s="82"/>
      <c r="J400" s="79"/>
      <c r="K400" s="79"/>
      <c r="L400" s="80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 spans="1:28" ht="30" customHeight="1" x14ac:dyDescent="0.3">
      <c r="A401" s="79"/>
      <c r="B401" s="80"/>
      <c r="C401" s="79"/>
      <c r="D401" s="80"/>
      <c r="E401" s="79"/>
      <c r="F401" s="79"/>
      <c r="G401" s="81"/>
      <c r="H401" s="79"/>
      <c r="I401" s="82"/>
      <c r="J401" s="79"/>
      <c r="K401" s="79"/>
      <c r="L401" s="80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 spans="1:28" ht="30" customHeight="1" x14ac:dyDescent="0.3">
      <c r="A402" s="79"/>
      <c r="B402" s="80"/>
      <c r="C402" s="79"/>
      <c r="D402" s="80"/>
      <c r="E402" s="79"/>
      <c r="F402" s="79"/>
      <c r="G402" s="81"/>
      <c r="H402" s="79"/>
      <c r="I402" s="82"/>
      <c r="J402" s="79"/>
      <c r="K402" s="79"/>
      <c r="L402" s="80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 spans="1:28" ht="30" customHeight="1" x14ac:dyDescent="0.3">
      <c r="A403" s="79"/>
      <c r="B403" s="80"/>
      <c r="C403" s="79"/>
      <c r="D403" s="80"/>
      <c r="E403" s="79"/>
      <c r="F403" s="79"/>
      <c r="G403" s="81"/>
      <c r="H403" s="79"/>
      <c r="I403" s="82"/>
      <c r="J403" s="79"/>
      <c r="K403" s="79"/>
      <c r="L403" s="80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 spans="1:28" ht="30" customHeight="1" x14ac:dyDescent="0.3">
      <c r="A404" s="79"/>
      <c r="B404" s="80"/>
      <c r="C404" s="79"/>
      <c r="D404" s="80"/>
      <c r="E404" s="79"/>
      <c r="F404" s="79"/>
      <c r="G404" s="81"/>
      <c r="H404" s="79"/>
      <c r="I404" s="82"/>
      <c r="J404" s="79"/>
      <c r="K404" s="79"/>
      <c r="L404" s="80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 spans="1:28" ht="30" customHeight="1" x14ac:dyDescent="0.3">
      <c r="A405" s="79"/>
      <c r="B405" s="80"/>
      <c r="C405" s="79"/>
      <c r="D405" s="80"/>
      <c r="E405" s="79"/>
      <c r="F405" s="79"/>
      <c r="G405" s="81"/>
      <c r="H405" s="79"/>
      <c r="I405" s="82"/>
      <c r="J405" s="79"/>
      <c r="K405" s="79"/>
      <c r="L405" s="80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 spans="1:28" ht="30" customHeight="1" x14ac:dyDescent="0.3">
      <c r="A406" s="79"/>
      <c r="B406" s="80"/>
      <c r="C406" s="79"/>
      <c r="D406" s="80"/>
      <c r="E406" s="79"/>
      <c r="F406" s="79"/>
      <c r="G406" s="81"/>
      <c r="H406" s="79"/>
      <c r="I406" s="82"/>
      <c r="J406" s="79"/>
      <c r="K406" s="79"/>
      <c r="L406" s="80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 spans="1:28" ht="30" customHeight="1" x14ac:dyDescent="0.3">
      <c r="A407" s="79"/>
      <c r="B407" s="80"/>
      <c r="C407" s="79"/>
      <c r="D407" s="80"/>
      <c r="E407" s="79"/>
      <c r="F407" s="79"/>
      <c r="G407" s="81"/>
      <c r="H407" s="79"/>
      <c r="I407" s="82"/>
      <c r="J407" s="79"/>
      <c r="K407" s="79"/>
      <c r="L407" s="80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 spans="1:28" ht="30" customHeight="1" x14ac:dyDescent="0.3">
      <c r="A408" s="79"/>
      <c r="B408" s="80"/>
      <c r="C408" s="79"/>
      <c r="D408" s="80"/>
      <c r="E408" s="79"/>
      <c r="F408" s="79"/>
      <c r="G408" s="81"/>
      <c r="H408" s="79"/>
      <c r="I408" s="82"/>
      <c r="J408" s="79"/>
      <c r="K408" s="79"/>
      <c r="L408" s="80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 spans="1:28" ht="30" customHeight="1" x14ac:dyDescent="0.3">
      <c r="A409" s="79"/>
      <c r="B409" s="80"/>
      <c r="C409" s="79"/>
      <c r="D409" s="80"/>
      <c r="E409" s="79"/>
      <c r="F409" s="79"/>
      <c r="G409" s="81"/>
      <c r="H409" s="79"/>
      <c r="I409" s="82"/>
      <c r="J409" s="79"/>
      <c r="K409" s="79"/>
      <c r="L409" s="80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 spans="1:28" ht="30" customHeight="1" x14ac:dyDescent="0.3">
      <c r="A410" s="79"/>
      <c r="B410" s="80"/>
      <c r="C410" s="79"/>
      <c r="D410" s="80"/>
      <c r="E410" s="79"/>
      <c r="F410" s="79"/>
      <c r="G410" s="81"/>
      <c r="H410" s="79"/>
      <c r="I410" s="82"/>
      <c r="J410" s="79"/>
      <c r="K410" s="79"/>
      <c r="L410" s="80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 spans="1:28" ht="30" customHeight="1" x14ac:dyDescent="0.3">
      <c r="A411" s="79"/>
      <c r="B411" s="80"/>
      <c r="C411" s="79"/>
      <c r="D411" s="80"/>
      <c r="E411" s="79"/>
      <c r="F411" s="79"/>
      <c r="G411" s="81"/>
      <c r="H411" s="79"/>
      <c r="I411" s="82"/>
      <c r="J411" s="79"/>
      <c r="K411" s="79"/>
      <c r="L411" s="80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 spans="1:28" ht="30" customHeight="1" x14ac:dyDescent="0.3">
      <c r="A412" s="79"/>
      <c r="B412" s="80"/>
      <c r="C412" s="79"/>
      <c r="D412" s="80"/>
      <c r="E412" s="79"/>
      <c r="F412" s="79"/>
      <c r="G412" s="81"/>
      <c r="H412" s="79"/>
      <c r="I412" s="82"/>
      <c r="J412" s="79"/>
      <c r="K412" s="79"/>
      <c r="L412" s="80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 spans="1:28" ht="30" customHeight="1" x14ac:dyDescent="0.3">
      <c r="A413" s="79"/>
      <c r="B413" s="80"/>
      <c r="C413" s="79"/>
      <c r="D413" s="80"/>
      <c r="E413" s="79"/>
      <c r="F413" s="79"/>
      <c r="G413" s="81"/>
      <c r="H413" s="79"/>
      <c r="I413" s="82"/>
      <c r="J413" s="79"/>
      <c r="K413" s="79"/>
      <c r="L413" s="80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 spans="1:28" ht="30" customHeight="1" x14ac:dyDescent="0.3">
      <c r="A414" s="79"/>
      <c r="B414" s="80"/>
      <c r="C414" s="79"/>
      <c r="D414" s="80"/>
      <c r="E414" s="79"/>
      <c r="F414" s="79"/>
      <c r="G414" s="81"/>
      <c r="H414" s="79"/>
      <c r="I414" s="82"/>
      <c r="J414" s="79"/>
      <c r="K414" s="79"/>
      <c r="L414" s="80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 spans="1:28" ht="30" customHeight="1" x14ac:dyDescent="0.3">
      <c r="A415" s="79"/>
      <c r="B415" s="80"/>
      <c r="C415" s="79"/>
      <c r="D415" s="80"/>
      <c r="E415" s="79"/>
      <c r="F415" s="79"/>
      <c r="G415" s="81"/>
      <c r="H415" s="79"/>
      <c r="I415" s="82"/>
      <c r="J415" s="79"/>
      <c r="K415" s="79"/>
      <c r="L415" s="80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 spans="1:28" ht="30" customHeight="1" x14ac:dyDescent="0.3">
      <c r="A416" s="79"/>
      <c r="B416" s="80"/>
      <c r="C416" s="79"/>
      <c r="D416" s="80"/>
      <c r="E416" s="79"/>
      <c r="F416" s="79"/>
      <c r="G416" s="81"/>
      <c r="H416" s="79"/>
      <c r="I416" s="82"/>
      <c r="J416" s="79"/>
      <c r="K416" s="79"/>
      <c r="L416" s="80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 spans="1:28" ht="30" customHeight="1" x14ac:dyDescent="0.3">
      <c r="A417" s="79"/>
      <c r="B417" s="80"/>
      <c r="C417" s="79"/>
      <c r="D417" s="80"/>
      <c r="E417" s="79"/>
      <c r="F417" s="79"/>
      <c r="G417" s="81"/>
      <c r="H417" s="79"/>
      <c r="I417" s="82"/>
      <c r="J417" s="79"/>
      <c r="K417" s="79"/>
      <c r="L417" s="80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 spans="1:28" ht="30" customHeight="1" x14ac:dyDescent="0.3">
      <c r="A418" s="79"/>
      <c r="B418" s="80"/>
      <c r="C418" s="79"/>
      <c r="D418" s="80"/>
      <c r="E418" s="79"/>
      <c r="F418" s="79"/>
      <c r="G418" s="81"/>
      <c r="H418" s="79"/>
      <c r="I418" s="82"/>
      <c r="J418" s="79"/>
      <c r="K418" s="79"/>
      <c r="L418" s="80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 spans="1:28" ht="30" customHeight="1" x14ac:dyDescent="0.3">
      <c r="A419" s="79"/>
      <c r="B419" s="80"/>
      <c r="C419" s="79"/>
      <c r="D419" s="80"/>
      <c r="E419" s="79"/>
      <c r="F419" s="79"/>
      <c r="G419" s="81"/>
      <c r="H419" s="79"/>
      <c r="I419" s="82"/>
      <c r="J419" s="79"/>
      <c r="K419" s="79"/>
      <c r="L419" s="80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 spans="1:28" ht="30" customHeight="1" x14ac:dyDescent="0.3">
      <c r="A420" s="79"/>
      <c r="B420" s="80"/>
      <c r="C420" s="79"/>
      <c r="D420" s="80"/>
      <c r="E420" s="79"/>
      <c r="F420" s="79"/>
      <c r="G420" s="81"/>
      <c r="H420" s="79"/>
      <c r="I420" s="82"/>
      <c r="J420" s="79"/>
      <c r="K420" s="79"/>
      <c r="L420" s="80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 spans="1:28" ht="30" customHeight="1" x14ac:dyDescent="0.3">
      <c r="A421" s="79"/>
      <c r="B421" s="80"/>
      <c r="C421" s="79"/>
      <c r="D421" s="80"/>
      <c r="E421" s="79"/>
      <c r="F421" s="79"/>
      <c r="G421" s="81"/>
      <c r="H421" s="79"/>
      <c r="I421" s="82"/>
      <c r="J421" s="79"/>
      <c r="K421" s="79"/>
      <c r="L421" s="80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 spans="1:28" ht="30" customHeight="1" x14ac:dyDescent="0.3">
      <c r="A422" s="79"/>
      <c r="B422" s="80"/>
      <c r="C422" s="79"/>
      <c r="D422" s="80"/>
      <c r="E422" s="79"/>
      <c r="F422" s="79"/>
      <c r="G422" s="81"/>
      <c r="H422" s="79"/>
      <c r="I422" s="82"/>
      <c r="J422" s="79"/>
      <c r="K422" s="79"/>
      <c r="L422" s="80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 spans="1:28" ht="30" customHeight="1" x14ac:dyDescent="0.3">
      <c r="A423" s="79"/>
      <c r="B423" s="80"/>
      <c r="C423" s="79"/>
      <c r="D423" s="80"/>
      <c r="E423" s="79"/>
      <c r="F423" s="79"/>
      <c r="G423" s="81"/>
      <c r="H423" s="79"/>
      <c r="I423" s="82"/>
      <c r="J423" s="79"/>
      <c r="K423" s="79"/>
      <c r="L423" s="80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 spans="1:28" ht="30" customHeight="1" x14ac:dyDescent="0.3">
      <c r="A424" s="79"/>
      <c r="B424" s="80"/>
      <c r="C424" s="79"/>
      <c r="D424" s="80"/>
      <c r="E424" s="79"/>
      <c r="F424" s="79"/>
      <c r="G424" s="81"/>
      <c r="H424" s="79"/>
      <c r="I424" s="82"/>
      <c r="J424" s="79"/>
      <c r="K424" s="79"/>
      <c r="L424" s="80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 spans="1:28" ht="30" customHeight="1" x14ac:dyDescent="0.3">
      <c r="A425" s="79"/>
      <c r="B425" s="80"/>
      <c r="C425" s="79"/>
      <c r="D425" s="80"/>
      <c r="E425" s="79"/>
      <c r="F425" s="79"/>
      <c r="G425" s="81"/>
      <c r="H425" s="79"/>
      <c r="I425" s="82"/>
      <c r="J425" s="79"/>
      <c r="K425" s="79"/>
      <c r="L425" s="80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 spans="1:28" ht="30" customHeight="1" x14ac:dyDescent="0.3">
      <c r="A426" s="79"/>
      <c r="B426" s="80"/>
      <c r="C426" s="79"/>
      <c r="D426" s="80"/>
      <c r="E426" s="79"/>
      <c r="F426" s="79"/>
      <c r="G426" s="81"/>
      <c r="H426" s="79"/>
      <c r="I426" s="82"/>
      <c r="J426" s="79"/>
      <c r="K426" s="79"/>
      <c r="L426" s="80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 spans="1:28" ht="30" customHeight="1" x14ac:dyDescent="0.3">
      <c r="A427" s="79"/>
      <c r="B427" s="80"/>
      <c r="C427" s="79"/>
      <c r="D427" s="80"/>
      <c r="E427" s="79"/>
      <c r="F427" s="79"/>
      <c r="G427" s="81"/>
      <c r="H427" s="79"/>
      <c r="I427" s="82"/>
      <c r="J427" s="79"/>
      <c r="K427" s="79"/>
      <c r="L427" s="80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 spans="1:28" ht="30" customHeight="1" x14ac:dyDescent="0.3">
      <c r="A428" s="79"/>
      <c r="B428" s="80"/>
      <c r="C428" s="79"/>
      <c r="D428" s="80"/>
      <c r="E428" s="79"/>
      <c r="F428" s="79"/>
      <c r="G428" s="81"/>
      <c r="H428" s="79"/>
      <c r="I428" s="82"/>
      <c r="J428" s="79"/>
      <c r="K428" s="79"/>
      <c r="L428" s="80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 spans="1:28" ht="30" customHeight="1" x14ac:dyDescent="0.3">
      <c r="A429" s="79"/>
      <c r="B429" s="80"/>
      <c r="C429" s="79"/>
      <c r="D429" s="80"/>
      <c r="E429" s="79"/>
      <c r="F429" s="79"/>
      <c r="G429" s="81"/>
      <c r="H429" s="79"/>
      <c r="I429" s="82"/>
      <c r="J429" s="79"/>
      <c r="K429" s="79"/>
      <c r="L429" s="80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 spans="1:28" ht="30" customHeight="1" x14ac:dyDescent="0.3">
      <c r="A430" s="79"/>
      <c r="B430" s="80"/>
      <c r="C430" s="79"/>
      <c r="D430" s="80"/>
      <c r="E430" s="79"/>
      <c r="F430" s="79"/>
      <c r="G430" s="81"/>
      <c r="H430" s="79"/>
      <c r="I430" s="82"/>
      <c r="J430" s="79"/>
      <c r="K430" s="79"/>
      <c r="L430" s="80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 spans="1:28" ht="30" customHeight="1" x14ac:dyDescent="0.3">
      <c r="A431" s="79"/>
      <c r="B431" s="80"/>
      <c r="C431" s="79"/>
      <c r="D431" s="80"/>
      <c r="E431" s="79"/>
      <c r="F431" s="79"/>
      <c r="G431" s="81"/>
      <c r="H431" s="79"/>
      <c r="I431" s="82"/>
      <c r="J431" s="79"/>
      <c r="K431" s="79"/>
      <c r="L431" s="80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 spans="1:28" ht="30" customHeight="1" x14ac:dyDescent="0.3">
      <c r="A432" s="79"/>
      <c r="B432" s="80"/>
      <c r="C432" s="79"/>
      <c r="D432" s="80"/>
      <c r="E432" s="79"/>
      <c r="F432" s="79"/>
      <c r="G432" s="81"/>
      <c r="H432" s="79"/>
      <c r="I432" s="82"/>
      <c r="J432" s="79"/>
      <c r="K432" s="79"/>
      <c r="L432" s="80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 spans="1:28" ht="30" customHeight="1" x14ac:dyDescent="0.3">
      <c r="A433" s="79"/>
      <c r="B433" s="80"/>
      <c r="C433" s="79"/>
      <c r="D433" s="80"/>
      <c r="E433" s="79"/>
      <c r="F433" s="79"/>
      <c r="G433" s="81"/>
      <c r="H433" s="79"/>
      <c r="I433" s="82"/>
      <c r="J433" s="79"/>
      <c r="K433" s="79"/>
      <c r="L433" s="80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 spans="1:28" ht="30" customHeight="1" x14ac:dyDescent="0.3">
      <c r="A434" s="79"/>
      <c r="B434" s="80"/>
      <c r="C434" s="79"/>
      <c r="D434" s="80"/>
      <c r="E434" s="79"/>
      <c r="F434" s="79"/>
      <c r="G434" s="81"/>
      <c r="H434" s="79"/>
      <c r="I434" s="82"/>
      <c r="J434" s="79"/>
      <c r="K434" s="79"/>
      <c r="L434" s="80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 spans="1:28" ht="30" customHeight="1" x14ac:dyDescent="0.3">
      <c r="A435" s="79"/>
      <c r="B435" s="80"/>
      <c r="C435" s="79"/>
      <c r="D435" s="80"/>
      <c r="E435" s="79"/>
      <c r="F435" s="79"/>
      <c r="G435" s="81"/>
      <c r="H435" s="79"/>
      <c r="I435" s="82"/>
      <c r="J435" s="79"/>
      <c r="K435" s="79"/>
      <c r="L435" s="80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 spans="1:28" ht="30" customHeight="1" x14ac:dyDescent="0.3">
      <c r="A436" s="79"/>
      <c r="B436" s="80"/>
      <c r="C436" s="79"/>
      <c r="D436" s="80"/>
      <c r="E436" s="79"/>
      <c r="F436" s="79"/>
      <c r="G436" s="81"/>
      <c r="H436" s="79"/>
      <c r="I436" s="82"/>
      <c r="J436" s="79"/>
      <c r="K436" s="79"/>
      <c r="L436" s="80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 spans="1:28" ht="30" customHeight="1" x14ac:dyDescent="0.3">
      <c r="A437" s="79"/>
      <c r="B437" s="80"/>
      <c r="C437" s="79"/>
      <c r="D437" s="80"/>
      <c r="E437" s="79"/>
      <c r="F437" s="79"/>
      <c r="G437" s="81"/>
      <c r="H437" s="79"/>
      <c r="I437" s="82"/>
      <c r="J437" s="79"/>
      <c r="K437" s="79"/>
      <c r="L437" s="80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 spans="1:28" ht="30" customHeight="1" x14ac:dyDescent="0.3">
      <c r="A438" s="79"/>
      <c r="B438" s="80"/>
      <c r="C438" s="79"/>
      <c r="D438" s="80"/>
      <c r="E438" s="79"/>
      <c r="F438" s="79"/>
      <c r="G438" s="81"/>
      <c r="H438" s="79"/>
      <c r="I438" s="82"/>
      <c r="J438" s="79"/>
      <c r="K438" s="79"/>
      <c r="L438" s="80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 spans="1:28" ht="30" customHeight="1" x14ac:dyDescent="0.3">
      <c r="A439" s="79"/>
      <c r="B439" s="80"/>
      <c r="C439" s="79"/>
      <c r="D439" s="80"/>
      <c r="E439" s="79"/>
      <c r="F439" s="79"/>
      <c r="G439" s="81"/>
      <c r="H439" s="79"/>
      <c r="I439" s="82"/>
      <c r="J439" s="79"/>
      <c r="K439" s="79"/>
      <c r="L439" s="80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 spans="1:28" ht="30" customHeight="1" x14ac:dyDescent="0.3">
      <c r="A440" s="79"/>
      <c r="B440" s="80"/>
      <c r="C440" s="79"/>
      <c r="D440" s="80"/>
      <c r="E440" s="79"/>
      <c r="F440" s="79"/>
      <c r="G440" s="81"/>
      <c r="H440" s="79"/>
      <c r="I440" s="82"/>
      <c r="J440" s="79"/>
      <c r="K440" s="79"/>
      <c r="L440" s="80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 spans="1:28" ht="30" customHeight="1" x14ac:dyDescent="0.3">
      <c r="A441" s="79"/>
      <c r="B441" s="80"/>
      <c r="C441" s="79"/>
      <c r="D441" s="80"/>
      <c r="E441" s="79"/>
      <c r="F441" s="79"/>
      <c r="G441" s="81"/>
      <c r="H441" s="79"/>
      <c r="I441" s="82"/>
      <c r="J441" s="79"/>
      <c r="K441" s="79"/>
      <c r="L441" s="80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 spans="1:28" ht="30" customHeight="1" x14ac:dyDescent="0.3">
      <c r="A442" s="79"/>
      <c r="B442" s="80"/>
      <c r="C442" s="79"/>
      <c r="D442" s="80"/>
      <c r="E442" s="79"/>
      <c r="F442" s="79"/>
      <c r="G442" s="81"/>
      <c r="H442" s="79"/>
      <c r="I442" s="82"/>
      <c r="J442" s="79"/>
      <c r="K442" s="79"/>
      <c r="L442" s="80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 spans="1:28" ht="30" customHeight="1" x14ac:dyDescent="0.3">
      <c r="A443" s="79"/>
      <c r="B443" s="80"/>
      <c r="C443" s="79"/>
      <c r="D443" s="80"/>
      <c r="E443" s="79"/>
      <c r="F443" s="79"/>
      <c r="G443" s="81"/>
      <c r="H443" s="79"/>
      <c r="I443" s="82"/>
      <c r="J443" s="79"/>
      <c r="K443" s="79"/>
      <c r="L443" s="80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 spans="1:28" ht="30" customHeight="1" x14ac:dyDescent="0.3">
      <c r="A444" s="79"/>
      <c r="B444" s="80"/>
      <c r="C444" s="79"/>
      <c r="D444" s="80"/>
      <c r="E444" s="79"/>
      <c r="F444" s="79"/>
      <c r="G444" s="81"/>
      <c r="H444" s="79"/>
      <c r="I444" s="82"/>
      <c r="J444" s="79"/>
      <c r="K444" s="79"/>
      <c r="L444" s="80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 spans="1:28" ht="30" customHeight="1" x14ac:dyDescent="0.3">
      <c r="A445" s="79"/>
      <c r="B445" s="80"/>
      <c r="C445" s="79"/>
      <c r="D445" s="80"/>
      <c r="E445" s="79"/>
      <c r="F445" s="79"/>
      <c r="G445" s="81"/>
      <c r="H445" s="79"/>
      <c r="I445" s="82"/>
      <c r="J445" s="79"/>
      <c r="K445" s="79"/>
      <c r="L445" s="80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 spans="1:28" ht="30" customHeight="1" x14ac:dyDescent="0.3">
      <c r="A446" s="79"/>
      <c r="B446" s="80"/>
      <c r="C446" s="79"/>
      <c r="D446" s="80"/>
      <c r="E446" s="79"/>
      <c r="F446" s="79"/>
      <c r="G446" s="81"/>
      <c r="H446" s="79"/>
      <c r="I446" s="82"/>
      <c r="J446" s="79"/>
      <c r="K446" s="79"/>
      <c r="L446" s="80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 spans="1:28" ht="30" customHeight="1" x14ac:dyDescent="0.3">
      <c r="A447" s="79"/>
      <c r="B447" s="80"/>
      <c r="C447" s="79"/>
      <c r="D447" s="80"/>
      <c r="E447" s="79"/>
      <c r="F447" s="79"/>
      <c r="G447" s="81"/>
      <c r="H447" s="79"/>
      <c r="I447" s="82"/>
      <c r="J447" s="79"/>
      <c r="K447" s="79"/>
      <c r="L447" s="80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 spans="1:28" ht="30" customHeight="1" x14ac:dyDescent="0.3">
      <c r="A448" s="79"/>
      <c r="B448" s="80"/>
      <c r="C448" s="79"/>
      <c r="D448" s="80"/>
      <c r="E448" s="79"/>
      <c r="F448" s="79"/>
      <c r="G448" s="81"/>
      <c r="H448" s="79"/>
      <c r="I448" s="82"/>
      <c r="J448" s="79"/>
      <c r="K448" s="79"/>
      <c r="L448" s="80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 spans="1:28" ht="30" customHeight="1" x14ac:dyDescent="0.3">
      <c r="A449" s="79"/>
      <c r="B449" s="80"/>
      <c r="C449" s="79"/>
      <c r="D449" s="80"/>
      <c r="E449" s="79"/>
      <c r="F449" s="79"/>
      <c r="G449" s="81"/>
      <c r="H449" s="79"/>
      <c r="I449" s="82"/>
      <c r="J449" s="79"/>
      <c r="K449" s="79"/>
      <c r="L449" s="80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 spans="1:28" ht="30" customHeight="1" x14ac:dyDescent="0.3">
      <c r="A450" s="79"/>
      <c r="B450" s="80"/>
      <c r="C450" s="79"/>
      <c r="D450" s="80"/>
      <c r="E450" s="79"/>
      <c r="F450" s="79"/>
      <c r="G450" s="81"/>
      <c r="H450" s="79"/>
      <c r="I450" s="82"/>
      <c r="J450" s="79"/>
      <c r="K450" s="79"/>
      <c r="L450" s="80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 spans="1:28" ht="30" customHeight="1" x14ac:dyDescent="0.3">
      <c r="A451" s="79"/>
      <c r="B451" s="80"/>
      <c r="C451" s="79"/>
      <c r="D451" s="80"/>
      <c r="E451" s="79"/>
      <c r="F451" s="79"/>
      <c r="G451" s="81"/>
      <c r="H451" s="79"/>
      <c r="I451" s="82"/>
      <c r="J451" s="79"/>
      <c r="K451" s="79"/>
      <c r="L451" s="80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 spans="1:28" ht="30" customHeight="1" x14ac:dyDescent="0.3">
      <c r="A452" s="79"/>
      <c r="B452" s="80"/>
      <c r="C452" s="79"/>
      <c r="D452" s="80"/>
      <c r="E452" s="79"/>
      <c r="F452" s="79"/>
      <c r="G452" s="81"/>
      <c r="H452" s="79"/>
      <c r="I452" s="82"/>
      <c r="J452" s="79"/>
      <c r="K452" s="79"/>
      <c r="L452" s="80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 spans="1:28" ht="30" customHeight="1" x14ac:dyDescent="0.3">
      <c r="A453" s="79"/>
      <c r="B453" s="80"/>
      <c r="C453" s="79"/>
      <c r="D453" s="80"/>
      <c r="E453" s="79"/>
      <c r="F453" s="79"/>
      <c r="G453" s="81"/>
      <c r="H453" s="79"/>
      <c r="I453" s="82"/>
      <c r="J453" s="79"/>
      <c r="K453" s="79"/>
      <c r="L453" s="80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 spans="1:28" ht="30" customHeight="1" x14ac:dyDescent="0.3">
      <c r="A454" s="79"/>
      <c r="B454" s="80"/>
      <c r="C454" s="79"/>
      <c r="D454" s="80"/>
      <c r="E454" s="79"/>
      <c r="F454" s="79"/>
      <c r="G454" s="81"/>
      <c r="H454" s="79"/>
      <c r="I454" s="82"/>
      <c r="J454" s="79"/>
      <c r="K454" s="79"/>
      <c r="L454" s="80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 spans="1:28" ht="30" customHeight="1" x14ac:dyDescent="0.3">
      <c r="A455" s="79"/>
      <c r="B455" s="80"/>
      <c r="C455" s="79"/>
      <c r="D455" s="80"/>
      <c r="E455" s="79"/>
      <c r="F455" s="79"/>
      <c r="G455" s="81"/>
      <c r="H455" s="79"/>
      <c r="I455" s="82"/>
      <c r="J455" s="79"/>
      <c r="K455" s="79"/>
      <c r="L455" s="80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 spans="1:28" ht="30" customHeight="1" x14ac:dyDescent="0.3">
      <c r="A456" s="79"/>
      <c r="B456" s="80"/>
      <c r="C456" s="79"/>
      <c r="D456" s="80"/>
      <c r="E456" s="79"/>
      <c r="F456" s="79"/>
      <c r="G456" s="81"/>
      <c r="H456" s="79"/>
      <c r="I456" s="82"/>
      <c r="J456" s="79"/>
      <c r="K456" s="79"/>
      <c r="L456" s="80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 spans="1:28" ht="30" customHeight="1" x14ac:dyDescent="0.3">
      <c r="A457" s="79"/>
      <c r="B457" s="80"/>
      <c r="C457" s="79"/>
      <c r="D457" s="80"/>
      <c r="E457" s="79"/>
      <c r="F457" s="79"/>
      <c r="G457" s="81"/>
      <c r="H457" s="79"/>
      <c r="I457" s="82"/>
      <c r="J457" s="79"/>
      <c r="K457" s="79"/>
      <c r="L457" s="80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 spans="1:28" ht="30" customHeight="1" x14ac:dyDescent="0.3">
      <c r="A458" s="79"/>
      <c r="B458" s="80"/>
      <c r="C458" s="79"/>
      <c r="D458" s="80"/>
      <c r="E458" s="79"/>
      <c r="F458" s="79"/>
      <c r="G458" s="81"/>
      <c r="H458" s="79"/>
      <c r="I458" s="82"/>
      <c r="J458" s="79"/>
      <c r="K458" s="79"/>
      <c r="L458" s="80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 spans="1:28" ht="30" customHeight="1" x14ac:dyDescent="0.3">
      <c r="A459" s="79"/>
      <c r="B459" s="80"/>
      <c r="C459" s="79"/>
      <c r="D459" s="80"/>
      <c r="E459" s="79"/>
      <c r="F459" s="79"/>
      <c r="G459" s="81"/>
      <c r="H459" s="79"/>
      <c r="I459" s="82"/>
      <c r="J459" s="79"/>
      <c r="K459" s="79"/>
      <c r="L459" s="80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 spans="1:28" ht="30" customHeight="1" x14ac:dyDescent="0.3">
      <c r="A460" s="79"/>
      <c r="B460" s="80"/>
      <c r="C460" s="79"/>
      <c r="D460" s="80"/>
      <c r="E460" s="79"/>
      <c r="F460" s="79"/>
      <c r="G460" s="81"/>
      <c r="H460" s="79"/>
      <c r="I460" s="82"/>
      <c r="J460" s="79"/>
      <c r="K460" s="79"/>
      <c r="L460" s="80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 spans="1:28" ht="30" customHeight="1" x14ac:dyDescent="0.3">
      <c r="A461" s="79"/>
      <c r="B461" s="80"/>
      <c r="C461" s="79"/>
      <c r="D461" s="80"/>
      <c r="E461" s="79"/>
      <c r="F461" s="79"/>
      <c r="G461" s="81"/>
      <c r="H461" s="79"/>
      <c r="I461" s="82"/>
      <c r="J461" s="79"/>
      <c r="K461" s="79"/>
      <c r="L461" s="80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 spans="1:28" ht="30" customHeight="1" x14ac:dyDescent="0.3">
      <c r="A462" s="79"/>
      <c r="B462" s="80"/>
      <c r="C462" s="79"/>
      <c r="D462" s="80"/>
      <c r="E462" s="79"/>
      <c r="F462" s="79"/>
      <c r="G462" s="81"/>
      <c r="H462" s="79"/>
      <c r="I462" s="82"/>
      <c r="J462" s="79"/>
      <c r="K462" s="79"/>
      <c r="L462" s="80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 spans="1:28" ht="30" customHeight="1" x14ac:dyDescent="0.3">
      <c r="A463" s="79"/>
      <c r="B463" s="80"/>
      <c r="C463" s="79"/>
      <c r="D463" s="80"/>
      <c r="E463" s="79"/>
      <c r="F463" s="79"/>
      <c r="G463" s="81"/>
      <c r="H463" s="79"/>
      <c r="I463" s="82"/>
      <c r="J463" s="79"/>
      <c r="K463" s="79"/>
      <c r="L463" s="80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 spans="1:28" ht="30" customHeight="1" x14ac:dyDescent="0.3">
      <c r="A464" s="79"/>
      <c r="B464" s="80"/>
      <c r="C464" s="79"/>
      <c r="D464" s="80"/>
      <c r="E464" s="79"/>
      <c r="F464" s="79"/>
      <c r="G464" s="81"/>
      <c r="H464" s="79"/>
      <c r="I464" s="82"/>
      <c r="J464" s="79"/>
      <c r="K464" s="79"/>
      <c r="L464" s="80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 spans="1:28" ht="30" customHeight="1" x14ac:dyDescent="0.3">
      <c r="A465" s="79"/>
      <c r="B465" s="80"/>
      <c r="C465" s="79"/>
      <c r="D465" s="80"/>
      <c r="E465" s="79"/>
      <c r="F465" s="79"/>
      <c r="G465" s="81"/>
      <c r="H465" s="79"/>
      <c r="I465" s="82"/>
      <c r="J465" s="79"/>
      <c r="K465" s="79"/>
      <c r="L465" s="80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 spans="1:28" ht="30" customHeight="1" x14ac:dyDescent="0.3">
      <c r="A466" s="79"/>
      <c r="B466" s="80"/>
      <c r="C466" s="79"/>
      <c r="D466" s="80"/>
      <c r="E466" s="79"/>
      <c r="F466" s="79"/>
      <c r="G466" s="81"/>
      <c r="H466" s="79"/>
      <c r="I466" s="82"/>
      <c r="J466" s="79"/>
      <c r="K466" s="79"/>
      <c r="L466" s="80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 spans="1:28" ht="30" customHeight="1" x14ac:dyDescent="0.3">
      <c r="A467" s="79"/>
      <c r="B467" s="80"/>
      <c r="C467" s="79"/>
      <c r="D467" s="80"/>
      <c r="E467" s="79"/>
      <c r="F467" s="79"/>
      <c r="G467" s="81"/>
      <c r="H467" s="79"/>
      <c r="I467" s="82"/>
      <c r="J467" s="79"/>
      <c r="K467" s="79"/>
      <c r="L467" s="80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 spans="1:28" ht="30" customHeight="1" x14ac:dyDescent="0.3">
      <c r="A468" s="79"/>
      <c r="B468" s="80"/>
      <c r="C468" s="79"/>
      <c r="D468" s="80"/>
      <c r="E468" s="79"/>
      <c r="F468" s="79"/>
      <c r="G468" s="81"/>
      <c r="H468" s="79"/>
      <c r="I468" s="82"/>
      <c r="J468" s="79"/>
      <c r="K468" s="79"/>
      <c r="L468" s="80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 spans="1:28" ht="30" customHeight="1" x14ac:dyDescent="0.3">
      <c r="A469" s="79"/>
      <c r="B469" s="80"/>
      <c r="C469" s="79"/>
      <c r="D469" s="80"/>
      <c r="E469" s="79"/>
      <c r="F469" s="79"/>
      <c r="G469" s="81"/>
      <c r="H469" s="79"/>
      <c r="I469" s="82"/>
      <c r="J469" s="79"/>
      <c r="K469" s="79"/>
      <c r="L469" s="80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 spans="1:28" ht="30" customHeight="1" x14ac:dyDescent="0.3">
      <c r="A470" s="79"/>
      <c r="B470" s="80"/>
      <c r="C470" s="79"/>
      <c r="D470" s="80"/>
      <c r="E470" s="79"/>
      <c r="F470" s="79"/>
      <c r="G470" s="81"/>
      <c r="H470" s="79"/>
      <c r="I470" s="82"/>
      <c r="J470" s="79"/>
      <c r="K470" s="79"/>
      <c r="L470" s="80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 spans="1:28" ht="30" customHeight="1" x14ac:dyDescent="0.3">
      <c r="A471" s="79"/>
      <c r="B471" s="80"/>
      <c r="C471" s="79"/>
      <c r="D471" s="80"/>
      <c r="E471" s="79"/>
      <c r="F471" s="79"/>
      <c r="G471" s="81"/>
      <c r="H471" s="79"/>
      <c r="I471" s="82"/>
      <c r="J471" s="79"/>
      <c r="K471" s="79"/>
      <c r="L471" s="80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 spans="1:28" ht="30" customHeight="1" x14ac:dyDescent="0.3">
      <c r="A472" s="79"/>
      <c r="B472" s="80"/>
      <c r="C472" s="79"/>
      <c r="D472" s="80"/>
      <c r="E472" s="79"/>
      <c r="F472" s="79"/>
      <c r="G472" s="81"/>
      <c r="H472" s="79"/>
      <c r="I472" s="82"/>
      <c r="J472" s="79"/>
      <c r="K472" s="79"/>
      <c r="L472" s="80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 spans="1:28" ht="30" customHeight="1" x14ac:dyDescent="0.3">
      <c r="A473" s="79"/>
      <c r="B473" s="80"/>
      <c r="C473" s="79"/>
      <c r="D473" s="80"/>
      <c r="E473" s="79"/>
      <c r="F473" s="79"/>
      <c r="G473" s="81"/>
      <c r="H473" s="79"/>
      <c r="I473" s="82"/>
      <c r="J473" s="79"/>
      <c r="K473" s="79"/>
      <c r="L473" s="80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 spans="1:28" ht="30" customHeight="1" x14ac:dyDescent="0.3">
      <c r="A474" s="79"/>
      <c r="B474" s="80"/>
      <c r="C474" s="79"/>
      <c r="D474" s="80"/>
      <c r="E474" s="79"/>
      <c r="F474" s="79"/>
      <c r="G474" s="81"/>
      <c r="H474" s="79"/>
      <c r="I474" s="82"/>
      <c r="J474" s="79"/>
      <c r="K474" s="79"/>
      <c r="L474" s="80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 spans="1:28" ht="30" customHeight="1" x14ac:dyDescent="0.3">
      <c r="A475" s="79"/>
      <c r="B475" s="80"/>
      <c r="C475" s="79"/>
      <c r="D475" s="80"/>
      <c r="E475" s="79"/>
      <c r="F475" s="79"/>
      <c r="G475" s="81"/>
      <c r="H475" s="79"/>
      <c r="I475" s="82"/>
      <c r="J475" s="79"/>
      <c r="K475" s="79"/>
      <c r="L475" s="80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 spans="1:28" ht="30" customHeight="1" x14ac:dyDescent="0.3">
      <c r="A476" s="79"/>
      <c r="B476" s="80"/>
      <c r="C476" s="79"/>
      <c r="D476" s="80"/>
      <c r="E476" s="79"/>
      <c r="F476" s="79"/>
      <c r="G476" s="81"/>
      <c r="H476" s="79"/>
      <c r="I476" s="82"/>
      <c r="J476" s="79"/>
      <c r="K476" s="79"/>
      <c r="L476" s="80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 spans="1:28" ht="30" customHeight="1" x14ac:dyDescent="0.3">
      <c r="A477" s="79"/>
      <c r="B477" s="80"/>
      <c r="C477" s="79"/>
      <c r="D477" s="80"/>
      <c r="E477" s="79"/>
      <c r="F477" s="79"/>
      <c r="G477" s="81"/>
      <c r="H477" s="79"/>
      <c r="I477" s="82"/>
      <c r="J477" s="79"/>
      <c r="K477" s="79"/>
      <c r="L477" s="80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 spans="1:28" ht="30" customHeight="1" x14ac:dyDescent="0.3">
      <c r="A478" s="79"/>
      <c r="B478" s="80"/>
      <c r="C478" s="79"/>
      <c r="D478" s="80"/>
      <c r="E478" s="79"/>
      <c r="F478" s="79"/>
      <c r="G478" s="81"/>
      <c r="H478" s="79"/>
      <c r="I478" s="82"/>
      <c r="J478" s="79"/>
      <c r="K478" s="79"/>
      <c r="L478" s="80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 spans="1:28" ht="30" customHeight="1" x14ac:dyDescent="0.3">
      <c r="A479" s="79"/>
      <c r="B479" s="80"/>
      <c r="C479" s="79"/>
      <c r="D479" s="80"/>
      <c r="E479" s="79"/>
      <c r="F479" s="79"/>
      <c r="G479" s="81"/>
      <c r="H479" s="79"/>
      <c r="I479" s="82"/>
      <c r="J479" s="79"/>
      <c r="K479" s="79"/>
      <c r="L479" s="80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 spans="1:28" ht="30" customHeight="1" x14ac:dyDescent="0.3">
      <c r="A480" s="79"/>
      <c r="B480" s="80"/>
      <c r="C480" s="79"/>
      <c r="D480" s="80"/>
      <c r="E480" s="79"/>
      <c r="F480" s="79"/>
      <c r="G480" s="81"/>
      <c r="H480" s="79"/>
      <c r="I480" s="82"/>
      <c r="J480" s="79"/>
      <c r="K480" s="79"/>
      <c r="L480" s="80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 spans="1:28" ht="30" customHeight="1" x14ac:dyDescent="0.3">
      <c r="A481" s="79"/>
      <c r="B481" s="80"/>
      <c r="C481" s="79"/>
      <c r="D481" s="80"/>
      <c r="E481" s="79"/>
      <c r="F481" s="79"/>
      <c r="G481" s="81"/>
      <c r="H481" s="79"/>
      <c r="I481" s="82"/>
      <c r="J481" s="79"/>
      <c r="K481" s="79"/>
      <c r="L481" s="80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 spans="1:28" ht="30" customHeight="1" x14ac:dyDescent="0.3">
      <c r="A482" s="79"/>
      <c r="B482" s="80"/>
      <c r="C482" s="79"/>
      <c r="D482" s="80"/>
      <c r="E482" s="79"/>
      <c r="F482" s="79"/>
      <c r="G482" s="81"/>
      <c r="H482" s="79"/>
      <c r="I482" s="82"/>
      <c r="J482" s="79"/>
      <c r="K482" s="79"/>
      <c r="L482" s="80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 spans="1:28" ht="30" customHeight="1" x14ac:dyDescent="0.3">
      <c r="A483" s="79"/>
      <c r="B483" s="80"/>
      <c r="C483" s="79"/>
      <c r="D483" s="80"/>
      <c r="E483" s="79"/>
      <c r="F483" s="79"/>
      <c r="G483" s="81"/>
      <c r="H483" s="79"/>
      <c r="I483" s="82"/>
      <c r="J483" s="79"/>
      <c r="K483" s="79"/>
      <c r="L483" s="80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 spans="1:28" ht="30" customHeight="1" x14ac:dyDescent="0.3">
      <c r="A484" s="79"/>
      <c r="B484" s="80"/>
      <c r="C484" s="79"/>
      <c r="D484" s="80"/>
      <c r="E484" s="79"/>
      <c r="F484" s="79"/>
      <c r="G484" s="81"/>
      <c r="H484" s="79"/>
      <c r="I484" s="82"/>
      <c r="J484" s="79"/>
      <c r="K484" s="79"/>
      <c r="L484" s="80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 spans="1:28" ht="30" customHeight="1" x14ac:dyDescent="0.3">
      <c r="A485" s="79"/>
      <c r="B485" s="80"/>
      <c r="C485" s="79"/>
      <c r="D485" s="80"/>
      <c r="E485" s="79"/>
      <c r="F485" s="79"/>
      <c r="G485" s="81"/>
      <c r="H485" s="79"/>
      <c r="I485" s="82"/>
      <c r="J485" s="79"/>
      <c r="K485" s="79"/>
      <c r="L485" s="80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 spans="1:28" ht="30" customHeight="1" x14ac:dyDescent="0.3">
      <c r="A486" s="79"/>
      <c r="B486" s="80"/>
      <c r="C486" s="79"/>
      <c r="D486" s="80"/>
      <c r="E486" s="79"/>
      <c r="F486" s="79"/>
      <c r="G486" s="81"/>
      <c r="H486" s="79"/>
      <c r="I486" s="82"/>
      <c r="J486" s="79"/>
      <c r="K486" s="79"/>
      <c r="L486" s="80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 spans="1:28" ht="30" customHeight="1" x14ac:dyDescent="0.3">
      <c r="A487" s="79"/>
      <c r="B487" s="80"/>
      <c r="C487" s="79"/>
      <c r="D487" s="80"/>
      <c r="E487" s="79"/>
      <c r="F487" s="79"/>
      <c r="G487" s="81"/>
      <c r="H487" s="79"/>
      <c r="I487" s="82"/>
      <c r="J487" s="79"/>
      <c r="K487" s="79"/>
      <c r="L487" s="80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 spans="1:28" ht="30" customHeight="1" x14ac:dyDescent="0.3">
      <c r="A488" s="79"/>
      <c r="B488" s="80"/>
      <c r="C488" s="79"/>
      <c r="D488" s="80"/>
      <c r="E488" s="79"/>
      <c r="F488" s="79"/>
      <c r="G488" s="81"/>
      <c r="H488" s="79"/>
      <c r="I488" s="82"/>
      <c r="J488" s="79"/>
      <c r="K488" s="79"/>
      <c r="L488" s="80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 spans="1:28" ht="30" customHeight="1" x14ac:dyDescent="0.3">
      <c r="A489" s="79"/>
      <c r="B489" s="80"/>
      <c r="C489" s="79"/>
      <c r="D489" s="80"/>
      <c r="E489" s="79"/>
      <c r="F489" s="79"/>
      <c r="G489" s="81"/>
      <c r="H489" s="79"/>
      <c r="I489" s="82"/>
      <c r="J489" s="79"/>
      <c r="K489" s="79"/>
      <c r="L489" s="80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 spans="1:28" ht="30" customHeight="1" x14ac:dyDescent="0.3">
      <c r="A490" s="79"/>
      <c r="B490" s="80"/>
      <c r="C490" s="79"/>
      <c r="D490" s="80"/>
      <c r="E490" s="79"/>
      <c r="F490" s="79"/>
      <c r="G490" s="81"/>
      <c r="H490" s="79"/>
      <c r="I490" s="82"/>
      <c r="J490" s="79"/>
      <c r="K490" s="79"/>
      <c r="L490" s="80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 spans="1:28" ht="30" customHeight="1" x14ac:dyDescent="0.3">
      <c r="A491" s="79"/>
      <c r="B491" s="80"/>
      <c r="C491" s="79"/>
      <c r="D491" s="80"/>
      <c r="E491" s="79"/>
      <c r="F491" s="79"/>
      <c r="G491" s="81"/>
      <c r="H491" s="79"/>
      <c r="I491" s="82"/>
      <c r="J491" s="79"/>
      <c r="K491" s="79"/>
      <c r="L491" s="80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 spans="1:28" ht="30" customHeight="1" x14ac:dyDescent="0.3">
      <c r="A492" s="79"/>
      <c r="B492" s="80"/>
      <c r="C492" s="79"/>
      <c r="D492" s="80"/>
      <c r="E492" s="79"/>
      <c r="F492" s="79"/>
      <c r="G492" s="81"/>
      <c r="H492" s="79"/>
      <c r="I492" s="82"/>
      <c r="J492" s="79"/>
      <c r="K492" s="79"/>
      <c r="L492" s="80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 spans="1:28" ht="30" customHeight="1" x14ac:dyDescent="0.3">
      <c r="A493" s="79"/>
      <c r="B493" s="80"/>
      <c r="C493" s="79"/>
      <c r="D493" s="80"/>
      <c r="E493" s="79"/>
      <c r="F493" s="79"/>
      <c r="G493" s="81"/>
      <c r="H493" s="79"/>
      <c r="I493" s="82"/>
      <c r="J493" s="79"/>
      <c r="K493" s="79"/>
      <c r="L493" s="80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 spans="1:28" ht="30" customHeight="1" x14ac:dyDescent="0.3">
      <c r="A494" s="79"/>
      <c r="B494" s="80"/>
      <c r="C494" s="79"/>
      <c r="D494" s="80"/>
      <c r="E494" s="79"/>
      <c r="F494" s="79"/>
      <c r="G494" s="81"/>
      <c r="H494" s="79"/>
      <c r="I494" s="82"/>
      <c r="J494" s="79"/>
      <c r="K494" s="79"/>
      <c r="L494" s="80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 spans="1:28" ht="30" customHeight="1" x14ac:dyDescent="0.3">
      <c r="A495" s="79"/>
      <c r="B495" s="80"/>
      <c r="C495" s="79"/>
      <c r="D495" s="80"/>
      <c r="E495" s="79"/>
      <c r="F495" s="79"/>
      <c r="G495" s="81"/>
      <c r="H495" s="79"/>
      <c r="I495" s="82"/>
      <c r="J495" s="79"/>
      <c r="K495" s="79"/>
      <c r="L495" s="80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 spans="1:28" ht="30" customHeight="1" x14ac:dyDescent="0.3">
      <c r="A496" s="79"/>
      <c r="B496" s="80"/>
      <c r="C496" s="79"/>
      <c r="D496" s="80"/>
      <c r="E496" s="79"/>
      <c r="F496" s="79"/>
      <c r="G496" s="81"/>
      <c r="H496" s="79"/>
      <c r="I496" s="82"/>
      <c r="J496" s="79"/>
      <c r="K496" s="79"/>
      <c r="L496" s="80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 spans="1:28" ht="30" customHeight="1" x14ac:dyDescent="0.3">
      <c r="A497" s="79"/>
      <c r="B497" s="80"/>
      <c r="C497" s="79"/>
      <c r="D497" s="80"/>
      <c r="E497" s="79"/>
      <c r="F497" s="79"/>
      <c r="G497" s="81"/>
      <c r="H497" s="79"/>
      <c r="I497" s="82"/>
      <c r="J497" s="79"/>
      <c r="K497" s="79"/>
      <c r="L497" s="80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 spans="1:28" ht="30" customHeight="1" x14ac:dyDescent="0.3">
      <c r="A498" s="79"/>
      <c r="B498" s="80"/>
      <c r="C498" s="79"/>
      <c r="D498" s="80"/>
      <c r="E498" s="79"/>
      <c r="F498" s="79"/>
      <c r="G498" s="81"/>
      <c r="H498" s="79"/>
      <c r="I498" s="82"/>
      <c r="J498" s="79"/>
      <c r="K498" s="79"/>
      <c r="L498" s="80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 spans="1:28" ht="30" customHeight="1" x14ac:dyDescent="0.3">
      <c r="A499" s="79"/>
      <c r="B499" s="80"/>
      <c r="C499" s="79"/>
      <c r="D499" s="80"/>
      <c r="E499" s="79"/>
      <c r="F499" s="79"/>
      <c r="G499" s="81"/>
      <c r="H499" s="79"/>
      <c r="I499" s="82"/>
      <c r="J499" s="79"/>
      <c r="K499" s="79"/>
      <c r="L499" s="80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 spans="1:28" ht="30" customHeight="1" x14ac:dyDescent="0.3">
      <c r="A500" s="79"/>
      <c r="B500" s="80"/>
      <c r="C500" s="79"/>
      <c r="D500" s="80"/>
      <c r="E500" s="79"/>
      <c r="F500" s="79"/>
      <c r="G500" s="81"/>
      <c r="H500" s="79"/>
      <c r="I500" s="82"/>
      <c r="J500" s="79"/>
      <c r="K500" s="79"/>
      <c r="L500" s="80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 spans="1:28" ht="30" customHeight="1" x14ac:dyDescent="0.3">
      <c r="A501" s="79"/>
      <c r="B501" s="80"/>
      <c r="C501" s="79"/>
      <c r="D501" s="80"/>
      <c r="E501" s="79"/>
      <c r="F501" s="79"/>
      <c r="G501" s="81"/>
      <c r="H501" s="79"/>
      <c r="I501" s="82"/>
      <c r="J501" s="79"/>
      <c r="K501" s="79"/>
      <c r="L501" s="80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 spans="1:28" ht="30" customHeight="1" x14ac:dyDescent="0.3">
      <c r="A502" s="79"/>
      <c r="B502" s="80"/>
      <c r="C502" s="79"/>
      <c r="D502" s="80"/>
      <c r="E502" s="79"/>
      <c r="F502" s="79"/>
      <c r="G502" s="81"/>
      <c r="H502" s="79"/>
      <c r="I502" s="82"/>
      <c r="J502" s="79"/>
      <c r="K502" s="79"/>
      <c r="L502" s="80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 spans="1:28" ht="30" customHeight="1" x14ac:dyDescent="0.3">
      <c r="A503" s="79"/>
      <c r="B503" s="80"/>
      <c r="C503" s="79"/>
      <c r="D503" s="80"/>
      <c r="E503" s="79"/>
      <c r="F503" s="79"/>
      <c r="G503" s="81"/>
      <c r="H503" s="79"/>
      <c r="I503" s="82"/>
      <c r="J503" s="79"/>
      <c r="K503" s="79"/>
      <c r="L503" s="80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 spans="1:28" ht="30" customHeight="1" x14ac:dyDescent="0.3">
      <c r="A504" s="79"/>
      <c r="B504" s="80"/>
      <c r="C504" s="79"/>
      <c r="D504" s="80"/>
      <c r="E504" s="79"/>
      <c r="F504" s="79"/>
      <c r="G504" s="81"/>
      <c r="H504" s="79"/>
      <c r="I504" s="82"/>
      <c r="J504" s="79"/>
      <c r="K504" s="79"/>
      <c r="L504" s="80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 spans="1:28" ht="30" customHeight="1" x14ac:dyDescent="0.3">
      <c r="A505" s="79"/>
      <c r="B505" s="80"/>
      <c r="C505" s="79"/>
      <c r="D505" s="80"/>
      <c r="E505" s="79"/>
      <c r="F505" s="79"/>
      <c r="G505" s="81"/>
      <c r="H505" s="79"/>
      <c r="I505" s="82"/>
      <c r="J505" s="79"/>
      <c r="K505" s="79"/>
      <c r="L505" s="80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 spans="1:28" ht="30" customHeight="1" x14ac:dyDescent="0.3">
      <c r="A506" s="79"/>
      <c r="B506" s="80"/>
      <c r="C506" s="79"/>
      <c r="D506" s="80"/>
      <c r="E506" s="79"/>
      <c r="F506" s="79"/>
      <c r="G506" s="81"/>
      <c r="H506" s="79"/>
      <c r="I506" s="82"/>
      <c r="J506" s="79"/>
      <c r="K506" s="79"/>
      <c r="L506" s="80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 spans="1:28" ht="30" customHeight="1" x14ac:dyDescent="0.3">
      <c r="A507" s="79"/>
      <c r="B507" s="80"/>
      <c r="C507" s="79"/>
      <c r="D507" s="80"/>
      <c r="E507" s="79"/>
      <c r="F507" s="79"/>
      <c r="G507" s="81"/>
      <c r="H507" s="79"/>
      <c r="I507" s="82"/>
      <c r="J507" s="79"/>
      <c r="K507" s="79"/>
      <c r="L507" s="80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 spans="1:28" ht="30" customHeight="1" x14ac:dyDescent="0.3">
      <c r="A508" s="79"/>
      <c r="B508" s="80"/>
      <c r="C508" s="79"/>
      <c r="D508" s="80"/>
      <c r="E508" s="79"/>
      <c r="F508" s="79"/>
      <c r="G508" s="81"/>
      <c r="H508" s="79"/>
      <c r="I508" s="82"/>
      <c r="J508" s="79"/>
      <c r="K508" s="79"/>
      <c r="L508" s="80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 spans="1:28" ht="30" customHeight="1" x14ac:dyDescent="0.3">
      <c r="A509" s="79"/>
      <c r="B509" s="80"/>
      <c r="C509" s="79"/>
      <c r="D509" s="80"/>
      <c r="E509" s="79"/>
      <c r="F509" s="79"/>
      <c r="G509" s="81"/>
      <c r="H509" s="79"/>
      <c r="I509" s="82"/>
      <c r="J509" s="79"/>
      <c r="K509" s="79"/>
      <c r="L509" s="80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 spans="1:28" ht="30" customHeight="1" x14ac:dyDescent="0.3">
      <c r="A510" s="79"/>
      <c r="B510" s="80"/>
      <c r="C510" s="79"/>
      <c r="D510" s="80"/>
      <c r="E510" s="79"/>
      <c r="F510" s="79"/>
      <c r="G510" s="81"/>
      <c r="H510" s="79"/>
      <c r="I510" s="82"/>
      <c r="J510" s="79"/>
      <c r="K510" s="79"/>
      <c r="L510" s="80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 spans="1:28" ht="30" customHeight="1" x14ac:dyDescent="0.3">
      <c r="A511" s="79"/>
      <c r="B511" s="80"/>
      <c r="C511" s="79"/>
      <c r="D511" s="80"/>
      <c r="E511" s="79"/>
      <c r="F511" s="79"/>
      <c r="G511" s="81"/>
      <c r="H511" s="79"/>
      <c r="I511" s="82"/>
      <c r="J511" s="79"/>
      <c r="K511" s="79"/>
      <c r="L511" s="80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 spans="1:28" ht="30" customHeight="1" x14ac:dyDescent="0.3">
      <c r="A512" s="79"/>
      <c r="B512" s="80"/>
      <c r="C512" s="79"/>
      <c r="D512" s="80"/>
      <c r="E512" s="79"/>
      <c r="F512" s="79"/>
      <c r="G512" s="81"/>
      <c r="H512" s="79"/>
      <c r="I512" s="82"/>
      <c r="J512" s="79"/>
      <c r="K512" s="79"/>
      <c r="L512" s="80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 spans="1:28" ht="30" customHeight="1" x14ac:dyDescent="0.3">
      <c r="A513" s="79"/>
      <c r="B513" s="80"/>
      <c r="C513" s="79"/>
      <c r="D513" s="80"/>
      <c r="E513" s="79"/>
      <c r="F513" s="79"/>
      <c r="G513" s="81"/>
      <c r="H513" s="79"/>
      <c r="I513" s="82"/>
      <c r="J513" s="79"/>
      <c r="K513" s="79"/>
      <c r="L513" s="80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 spans="1:28" ht="30" customHeight="1" x14ac:dyDescent="0.3">
      <c r="A514" s="79"/>
      <c r="B514" s="80"/>
      <c r="C514" s="79"/>
      <c r="D514" s="80"/>
      <c r="E514" s="79"/>
      <c r="F514" s="79"/>
      <c r="G514" s="81"/>
      <c r="H514" s="79"/>
      <c r="I514" s="82"/>
      <c r="J514" s="79"/>
      <c r="K514" s="79"/>
      <c r="L514" s="80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 spans="1:28" ht="30" customHeight="1" x14ac:dyDescent="0.3">
      <c r="A515" s="79"/>
      <c r="B515" s="80"/>
      <c r="C515" s="79"/>
      <c r="D515" s="80"/>
      <c r="E515" s="79"/>
      <c r="F515" s="79"/>
      <c r="G515" s="81"/>
      <c r="H515" s="79"/>
      <c r="I515" s="82"/>
      <c r="J515" s="79"/>
      <c r="K515" s="79"/>
      <c r="L515" s="80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 spans="1:28" ht="30" customHeight="1" x14ac:dyDescent="0.3">
      <c r="A516" s="79"/>
      <c r="B516" s="80"/>
      <c r="C516" s="79"/>
      <c r="D516" s="80"/>
      <c r="E516" s="79"/>
      <c r="F516" s="79"/>
      <c r="G516" s="81"/>
      <c r="H516" s="79"/>
      <c r="I516" s="82"/>
      <c r="J516" s="79"/>
      <c r="K516" s="79"/>
      <c r="L516" s="80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 spans="1:28" ht="30" customHeight="1" x14ac:dyDescent="0.3">
      <c r="A517" s="79"/>
      <c r="B517" s="80"/>
      <c r="C517" s="79"/>
      <c r="D517" s="80"/>
      <c r="E517" s="79"/>
      <c r="F517" s="79"/>
      <c r="G517" s="81"/>
      <c r="H517" s="79"/>
      <c r="I517" s="82"/>
      <c r="J517" s="79"/>
      <c r="K517" s="79"/>
      <c r="L517" s="80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 spans="1:28" ht="30" customHeight="1" x14ac:dyDescent="0.3">
      <c r="A518" s="79"/>
      <c r="B518" s="80"/>
      <c r="C518" s="79"/>
      <c r="D518" s="80"/>
      <c r="E518" s="79"/>
      <c r="F518" s="79"/>
      <c r="G518" s="81"/>
      <c r="H518" s="79"/>
      <c r="I518" s="82"/>
      <c r="J518" s="79"/>
      <c r="K518" s="79"/>
      <c r="L518" s="80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 spans="1:28" ht="30" customHeight="1" x14ac:dyDescent="0.3">
      <c r="A519" s="79"/>
      <c r="B519" s="80"/>
      <c r="C519" s="79"/>
      <c r="D519" s="80"/>
      <c r="E519" s="79"/>
      <c r="F519" s="79"/>
      <c r="G519" s="81"/>
      <c r="H519" s="79"/>
      <c r="I519" s="82"/>
      <c r="J519" s="79"/>
      <c r="K519" s="79"/>
      <c r="L519" s="80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 spans="1:28" ht="30" customHeight="1" x14ac:dyDescent="0.3">
      <c r="A520" s="79"/>
      <c r="B520" s="80"/>
      <c r="C520" s="79"/>
      <c r="D520" s="80"/>
      <c r="E520" s="79"/>
      <c r="F520" s="79"/>
      <c r="G520" s="81"/>
      <c r="H520" s="79"/>
      <c r="I520" s="82"/>
      <c r="J520" s="79"/>
      <c r="K520" s="79"/>
      <c r="L520" s="80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 spans="1:28" ht="30" customHeight="1" x14ac:dyDescent="0.3">
      <c r="A521" s="79"/>
      <c r="B521" s="80"/>
      <c r="C521" s="79"/>
      <c r="D521" s="80"/>
      <c r="E521" s="79"/>
      <c r="F521" s="79"/>
      <c r="G521" s="81"/>
      <c r="H521" s="79"/>
      <c r="I521" s="82"/>
      <c r="J521" s="79"/>
      <c r="K521" s="79"/>
      <c r="L521" s="80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 spans="1:28" ht="30" customHeight="1" x14ac:dyDescent="0.3">
      <c r="A522" s="79"/>
      <c r="B522" s="80"/>
      <c r="C522" s="79"/>
      <c r="D522" s="80"/>
      <c r="E522" s="79"/>
      <c r="F522" s="79"/>
      <c r="G522" s="81"/>
      <c r="H522" s="79"/>
      <c r="I522" s="82"/>
      <c r="J522" s="79"/>
      <c r="K522" s="79"/>
      <c r="L522" s="80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 spans="1:28" ht="30" customHeight="1" x14ac:dyDescent="0.3">
      <c r="A523" s="79"/>
      <c r="B523" s="80"/>
      <c r="C523" s="79"/>
      <c r="D523" s="80"/>
      <c r="E523" s="79"/>
      <c r="F523" s="79"/>
      <c r="G523" s="81"/>
      <c r="H523" s="79"/>
      <c r="I523" s="82"/>
      <c r="J523" s="79"/>
      <c r="K523" s="79"/>
      <c r="L523" s="80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 spans="1:28" ht="30" customHeight="1" x14ac:dyDescent="0.3">
      <c r="A524" s="79"/>
      <c r="B524" s="80"/>
      <c r="C524" s="79"/>
      <c r="D524" s="80"/>
      <c r="E524" s="79"/>
      <c r="F524" s="79"/>
      <c r="G524" s="81"/>
      <c r="H524" s="79"/>
      <c r="I524" s="82"/>
      <c r="J524" s="79"/>
      <c r="K524" s="79"/>
      <c r="L524" s="80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 spans="1:28" ht="30" customHeight="1" x14ac:dyDescent="0.3">
      <c r="A525" s="79"/>
      <c r="B525" s="80"/>
      <c r="C525" s="79"/>
      <c r="D525" s="80"/>
      <c r="E525" s="79"/>
      <c r="F525" s="79"/>
      <c r="G525" s="81"/>
      <c r="H525" s="79"/>
      <c r="I525" s="82"/>
      <c r="J525" s="79"/>
      <c r="K525" s="79"/>
      <c r="L525" s="80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 spans="1:28" ht="30" customHeight="1" x14ac:dyDescent="0.3">
      <c r="A526" s="79"/>
      <c r="B526" s="80"/>
      <c r="C526" s="79"/>
      <c r="D526" s="80"/>
      <c r="E526" s="79"/>
      <c r="F526" s="79"/>
      <c r="G526" s="81"/>
      <c r="H526" s="79"/>
      <c r="I526" s="82"/>
      <c r="J526" s="79"/>
      <c r="K526" s="79"/>
      <c r="L526" s="80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 spans="1:28" ht="30" customHeight="1" x14ac:dyDescent="0.3">
      <c r="A527" s="79"/>
      <c r="B527" s="80"/>
      <c r="C527" s="79"/>
      <c r="D527" s="80"/>
      <c r="E527" s="79"/>
      <c r="F527" s="79"/>
      <c r="G527" s="81"/>
      <c r="H527" s="79"/>
      <c r="I527" s="82"/>
      <c r="J527" s="79"/>
      <c r="K527" s="79"/>
      <c r="L527" s="80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 spans="1:28" ht="30" customHeight="1" x14ac:dyDescent="0.3">
      <c r="A528" s="79"/>
      <c r="B528" s="80"/>
      <c r="C528" s="79"/>
      <c r="D528" s="80"/>
      <c r="E528" s="79"/>
      <c r="F528" s="79"/>
      <c r="G528" s="81"/>
      <c r="H528" s="79"/>
      <c r="I528" s="82"/>
      <c r="J528" s="79"/>
      <c r="K528" s="79"/>
      <c r="L528" s="80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 spans="1:28" ht="30" customHeight="1" x14ac:dyDescent="0.3">
      <c r="A529" s="79"/>
      <c r="B529" s="80"/>
      <c r="C529" s="79"/>
      <c r="D529" s="80"/>
      <c r="E529" s="79"/>
      <c r="F529" s="79"/>
      <c r="G529" s="81"/>
      <c r="H529" s="79"/>
      <c r="I529" s="82"/>
      <c r="J529" s="79"/>
      <c r="K529" s="79"/>
      <c r="L529" s="80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 spans="1:28" ht="30" customHeight="1" x14ac:dyDescent="0.3">
      <c r="A530" s="79"/>
      <c r="B530" s="80"/>
      <c r="C530" s="79"/>
      <c r="D530" s="80"/>
      <c r="E530" s="79"/>
      <c r="F530" s="79"/>
      <c r="G530" s="81"/>
      <c r="H530" s="79"/>
      <c r="I530" s="82"/>
      <c r="J530" s="79"/>
      <c r="K530" s="79"/>
      <c r="L530" s="80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 spans="1:28" ht="30" customHeight="1" x14ac:dyDescent="0.3">
      <c r="A531" s="79"/>
      <c r="B531" s="80"/>
      <c r="C531" s="79"/>
      <c r="D531" s="80"/>
      <c r="E531" s="79"/>
      <c r="F531" s="79"/>
      <c r="G531" s="81"/>
      <c r="H531" s="79"/>
      <c r="I531" s="82"/>
      <c r="J531" s="79"/>
      <c r="K531" s="79"/>
      <c r="L531" s="80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 spans="1:28" ht="30" customHeight="1" x14ac:dyDescent="0.3">
      <c r="A532" s="79"/>
      <c r="B532" s="80"/>
      <c r="C532" s="79"/>
      <c r="D532" s="80"/>
      <c r="E532" s="79"/>
      <c r="F532" s="79"/>
      <c r="G532" s="81"/>
      <c r="H532" s="79"/>
      <c r="I532" s="82"/>
      <c r="J532" s="79"/>
      <c r="K532" s="79"/>
      <c r="L532" s="80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 spans="1:28" ht="30" customHeight="1" x14ac:dyDescent="0.3">
      <c r="A533" s="79"/>
      <c r="B533" s="80"/>
      <c r="C533" s="79"/>
      <c r="D533" s="80"/>
      <c r="E533" s="79"/>
      <c r="F533" s="79"/>
      <c r="G533" s="81"/>
      <c r="H533" s="79"/>
      <c r="I533" s="82"/>
      <c r="J533" s="79"/>
      <c r="K533" s="79"/>
      <c r="L533" s="80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 spans="1:28" ht="30" customHeight="1" x14ac:dyDescent="0.3">
      <c r="A534" s="79"/>
      <c r="B534" s="80"/>
      <c r="C534" s="79"/>
      <c r="D534" s="80"/>
      <c r="E534" s="79"/>
      <c r="F534" s="79"/>
      <c r="G534" s="81"/>
      <c r="H534" s="79"/>
      <c r="I534" s="82"/>
      <c r="J534" s="79"/>
      <c r="K534" s="79"/>
      <c r="L534" s="80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 spans="1:28" ht="30" customHeight="1" x14ac:dyDescent="0.3">
      <c r="A535" s="79"/>
      <c r="B535" s="80"/>
      <c r="C535" s="79"/>
      <c r="D535" s="80"/>
      <c r="E535" s="79"/>
      <c r="F535" s="79"/>
      <c r="G535" s="81"/>
      <c r="H535" s="79"/>
      <c r="I535" s="82"/>
      <c r="J535" s="79"/>
      <c r="K535" s="79"/>
      <c r="L535" s="80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 spans="1:28" ht="30" customHeight="1" x14ac:dyDescent="0.3">
      <c r="A536" s="79"/>
      <c r="B536" s="80"/>
      <c r="C536" s="79"/>
      <c r="D536" s="80"/>
      <c r="E536" s="79"/>
      <c r="F536" s="79"/>
      <c r="G536" s="81"/>
      <c r="H536" s="79"/>
      <c r="I536" s="82"/>
      <c r="J536" s="79"/>
      <c r="K536" s="79"/>
      <c r="L536" s="80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 spans="1:28" ht="30" customHeight="1" x14ac:dyDescent="0.3">
      <c r="A537" s="79"/>
      <c r="B537" s="80"/>
      <c r="C537" s="79"/>
      <c r="D537" s="80"/>
      <c r="E537" s="79"/>
      <c r="F537" s="79"/>
      <c r="G537" s="81"/>
      <c r="H537" s="79"/>
      <c r="I537" s="82"/>
      <c r="J537" s="79"/>
      <c r="K537" s="79"/>
      <c r="L537" s="80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 spans="1:28" ht="30" customHeight="1" x14ac:dyDescent="0.3">
      <c r="A538" s="79"/>
      <c r="B538" s="80"/>
      <c r="C538" s="79"/>
      <c r="D538" s="80"/>
      <c r="E538" s="79"/>
      <c r="F538" s="79"/>
      <c r="G538" s="81"/>
      <c r="H538" s="79"/>
      <c r="I538" s="82"/>
      <c r="J538" s="79"/>
      <c r="K538" s="79"/>
      <c r="L538" s="80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 spans="1:28" ht="30" customHeight="1" x14ac:dyDescent="0.3">
      <c r="A539" s="79"/>
      <c r="B539" s="80"/>
      <c r="C539" s="79"/>
      <c r="D539" s="80"/>
      <c r="E539" s="79"/>
      <c r="F539" s="79"/>
      <c r="G539" s="81"/>
      <c r="H539" s="79"/>
      <c r="I539" s="82"/>
      <c r="J539" s="79"/>
      <c r="K539" s="79"/>
      <c r="L539" s="80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 spans="1:28" ht="30" customHeight="1" x14ac:dyDescent="0.3">
      <c r="A540" s="79"/>
      <c r="B540" s="80"/>
      <c r="C540" s="79"/>
      <c r="D540" s="80"/>
      <c r="E540" s="79"/>
      <c r="F540" s="79"/>
      <c r="G540" s="81"/>
      <c r="H540" s="79"/>
      <c r="I540" s="82"/>
      <c r="J540" s="79"/>
      <c r="K540" s="79"/>
      <c r="L540" s="80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 spans="1:28" ht="30" customHeight="1" x14ac:dyDescent="0.3">
      <c r="A541" s="79"/>
      <c r="B541" s="80"/>
      <c r="C541" s="79"/>
      <c r="D541" s="80"/>
      <c r="E541" s="79"/>
      <c r="F541" s="79"/>
      <c r="G541" s="81"/>
      <c r="H541" s="79"/>
      <c r="I541" s="82"/>
      <c r="J541" s="79"/>
      <c r="K541" s="79"/>
      <c r="L541" s="80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 spans="1:28" ht="30" customHeight="1" x14ac:dyDescent="0.3">
      <c r="A542" s="79"/>
      <c r="B542" s="80"/>
      <c r="C542" s="79"/>
      <c r="D542" s="80"/>
      <c r="E542" s="79"/>
      <c r="F542" s="79"/>
      <c r="G542" s="81"/>
      <c r="H542" s="79"/>
      <c r="I542" s="82"/>
      <c r="J542" s="79"/>
      <c r="K542" s="79"/>
      <c r="L542" s="80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 spans="1:28" ht="30" customHeight="1" x14ac:dyDescent="0.3">
      <c r="A543" s="79"/>
      <c r="B543" s="80"/>
      <c r="C543" s="79"/>
      <c r="D543" s="80"/>
      <c r="E543" s="79"/>
      <c r="F543" s="79"/>
      <c r="G543" s="81"/>
      <c r="H543" s="79"/>
      <c r="I543" s="82"/>
      <c r="J543" s="79"/>
      <c r="K543" s="79"/>
      <c r="L543" s="80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 spans="1:28" ht="30" customHeight="1" x14ac:dyDescent="0.3">
      <c r="A544" s="79"/>
      <c r="B544" s="80"/>
      <c r="C544" s="79"/>
      <c r="D544" s="80"/>
      <c r="E544" s="79"/>
      <c r="F544" s="79"/>
      <c r="G544" s="81"/>
      <c r="H544" s="79"/>
      <c r="I544" s="82"/>
      <c r="J544" s="79"/>
      <c r="K544" s="79"/>
      <c r="L544" s="80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 spans="1:28" ht="30" customHeight="1" x14ac:dyDescent="0.3">
      <c r="A545" s="79"/>
      <c r="B545" s="80"/>
      <c r="C545" s="79"/>
      <c r="D545" s="80"/>
      <c r="E545" s="79"/>
      <c r="F545" s="79"/>
      <c r="G545" s="81"/>
      <c r="H545" s="79"/>
      <c r="I545" s="82"/>
      <c r="J545" s="79"/>
      <c r="K545" s="79"/>
      <c r="L545" s="80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 spans="1:28" ht="30" customHeight="1" x14ac:dyDescent="0.3">
      <c r="A546" s="79"/>
      <c r="B546" s="80"/>
      <c r="C546" s="79"/>
      <c r="D546" s="80"/>
      <c r="E546" s="79"/>
      <c r="F546" s="79"/>
      <c r="G546" s="81"/>
      <c r="H546" s="79"/>
      <c r="I546" s="82"/>
      <c r="J546" s="79"/>
      <c r="K546" s="79"/>
      <c r="L546" s="80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 spans="1:28" ht="30" customHeight="1" x14ac:dyDescent="0.3">
      <c r="A547" s="79"/>
      <c r="B547" s="80"/>
      <c r="C547" s="79"/>
      <c r="D547" s="80"/>
      <c r="E547" s="79"/>
      <c r="F547" s="79"/>
      <c r="G547" s="81"/>
      <c r="H547" s="79"/>
      <c r="I547" s="82"/>
      <c r="J547" s="79"/>
      <c r="K547" s="79"/>
      <c r="L547" s="80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 spans="1:28" ht="30" customHeight="1" x14ac:dyDescent="0.3">
      <c r="A548" s="79"/>
      <c r="B548" s="80"/>
      <c r="C548" s="79"/>
      <c r="D548" s="80"/>
      <c r="E548" s="79"/>
      <c r="F548" s="79"/>
      <c r="G548" s="81"/>
      <c r="H548" s="79"/>
      <c r="I548" s="82"/>
      <c r="J548" s="79"/>
      <c r="K548" s="79"/>
      <c r="L548" s="80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 spans="1:28" ht="30" customHeight="1" x14ac:dyDescent="0.3">
      <c r="A549" s="79"/>
      <c r="B549" s="80"/>
      <c r="C549" s="79"/>
      <c r="D549" s="80"/>
      <c r="E549" s="79"/>
      <c r="F549" s="79"/>
      <c r="G549" s="81"/>
      <c r="H549" s="79"/>
      <c r="I549" s="82"/>
      <c r="J549" s="79"/>
      <c r="K549" s="79"/>
      <c r="L549" s="80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 spans="1:28" ht="30" customHeight="1" x14ac:dyDescent="0.3">
      <c r="A550" s="79"/>
      <c r="B550" s="80"/>
      <c r="C550" s="79"/>
      <c r="D550" s="80"/>
      <c r="E550" s="79"/>
      <c r="F550" s="79"/>
      <c r="G550" s="81"/>
      <c r="H550" s="79"/>
      <c r="I550" s="82"/>
      <c r="J550" s="79"/>
      <c r="K550" s="79"/>
      <c r="L550" s="80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 spans="1:28" ht="30" customHeight="1" x14ac:dyDescent="0.3">
      <c r="A551" s="79"/>
      <c r="B551" s="80"/>
      <c r="C551" s="79"/>
      <c r="D551" s="80"/>
      <c r="E551" s="79"/>
      <c r="F551" s="79"/>
      <c r="G551" s="81"/>
      <c r="H551" s="79"/>
      <c r="I551" s="82"/>
      <c r="J551" s="79"/>
      <c r="K551" s="79"/>
      <c r="L551" s="80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 spans="1:28" ht="30" customHeight="1" x14ac:dyDescent="0.3">
      <c r="A552" s="79"/>
      <c r="B552" s="80"/>
      <c r="C552" s="79"/>
      <c r="D552" s="80"/>
      <c r="E552" s="79"/>
      <c r="F552" s="79"/>
      <c r="G552" s="81"/>
      <c r="H552" s="79"/>
      <c r="I552" s="82"/>
      <c r="J552" s="79"/>
      <c r="K552" s="79"/>
      <c r="L552" s="80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 spans="1:28" ht="30" customHeight="1" x14ac:dyDescent="0.3">
      <c r="A553" s="79"/>
      <c r="B553" s="80"/>
      <c r="C553" s="79"/>
      <c r="D553" s="80"/>
      <c r="E553" s="79"/>
      <c r="F553" s="79"/>
      <c r="G553" s="81"/>
      <c r="H553" s="79"/>
      <c r="I553" s="82"/>
      <c r="J553" s="79"/>
      <c r="K553" s="79"/>
      <c r="L553" s="80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 spans="1:28" ht="30" customHeight="1" x14ac:dyDescent="0.3">
      <c r="A554" s="79"/>
      <c r="B554" s="80"/>
      <c r="C554" s="79"/>
      <c r="D554" s="80"/>
      <c r="E554" s="79"/>
      <c r="F554" s="79"/>
      <c r="G554" s="81"/>
      <c r="H554" s="79"/>
      <c r="I554" s="82"/>
      <c r="J554" s="79"/>
      <c r="K554" s="79"/>
      <c r="L554" s="80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 spans="1:28" ht="30" customHeight="1" x14ac:dyDescent="0.3">
      <c r="A555" s="79"/>
      <c r="B555" s="80"/>
      <c r="C555" s="79"/>
      <c r="D555" s="80"/>
      <c r="E555" s="79"/>
      <c r="F555" s="79"/>
      <c r="G555" s="81"/>
      <c r="H555" s="79"/>
      <c r="I555" s="82"/>
      <c r="J555" s="79"/>
      <c r="K555" s="79"/>
      <c r="L555" s="80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 spans="1:28" ht="30" customHeight="1" x14ac:dyDescent="0.3">
      <c r="A556" s="79"/>
      <c r="B556" s="80"/>
      <c r="C556" s="79"/>
      <c r="D556" s="80"/>
      <c r="E556" s="79"/>
      <c r="F556" s="79"/>
      <c r="G556" s="81"/>
      <c r="H556" s="79"/>
      <c r="I556" s="82"/>
      <c r="J556" s="79"/>
      <c r="K556" s="79"/>
      <c r="L556" s="80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 spans="1:28" ht="30" customHeight="1" x14ac:dyDescent="0.3">
      <c r="A557" s="79"/>
      <c r="B557" s="80"/>
      <c r="C557" s="79"/>
      <c r="D557" s="80"/>
      <c r="E557" s="79"/>
      <c r="F557" s="79"/>
      <c r="G557" s="81"/>
      <c r="H557" s="79"/>
      <c r="I557" s="82"/>
      <c r="J557" s="79"/>
      <c r="K557" s="79"/>
      <c r="L557" s="80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 spans="1:28" ht="30" customHeight="1" x14ac:dyDescent="0.3">
      <c r="A558" s="79"/>
      <c r="B558" s="80"/>
      <c r="C558" s="79"/>
      <c r="D558" s="80"/>
      <c r="E558" s="79"/>
      <c r="F558" s="79"/>
      <c r="G558" s="81"/>
      <c r="H558" s="79"/>
      <c r="I558" s="82"/>
      <c r="J558" s="79"/>
      <c r="K558" s="79"/>
      <c r="L558" s="80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 spans="1:28" ht="30" customHeight="1" x14ac:dyDescent="0.3">
      <c r="A559" s="79"/>
      <c r="B559" s="80"/>
      <c r="C559" s="79"/>
      <c r="D559" s="80"/>
      <c r="E559" s="79"/>
      <c r="F559" s="79"/>
      <c r="G559" s="81"/>
      <c r="H559" s="79"/>
      <c r="I559" s="82"/>
      <c r="J559" s="79"/>
      <c r="K559" s="79"/>
      <c r="L559" s="80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 spans="1:28" ht="30" customHeight="1" x14ac:dyDescent="0.3">
      <c r="A560" s="79"/>
      <c r="B560" s="80"/>
      <c r="C560" s="79"/>
      <c r="D560" s="80"/>
      <c r="E560" s="79"/>
      <c r="F560" s="79"/>
      <c r="G560" s="81"/>
      <c r="H560" s="79"/>
      <c r="I560" s="82"/>
      <c r="J560" s="79"/>
      <c r="K560" s="79"/>
      <c r="L560" s="80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 spans="1:28" ht="30" customHeight="1" x14ac:dyDescent="0.3">
      <c r="A561" s="79"/>
      <c r="B561" s="80"/>
      <c r="C561" s="79"/>
      <c r="D561" s="80"/>
      <c r="E561" s="79"/>
      <c r="F561" s="79"/>
      <c r="G561" s="81"/>
      <c r="H561" s="79"/>
      <c r="I561" s="82"/>
      <c r="J561" s="79"/>
      <c r="K561" s="79"/>
      <c r="L561" s="80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 spans="1:28" ht="30" customHeight="1" x14ac:dyDescent="0.3">
      <c r="A562" s="79"/>
      <c r="B562" s="80"/>
      <c r="C562" s="79"/>
      <c r="D562" s="80"/>
      <c r="E562" s="79"/>
      <c r="F562" s="79"/>
      <c r="G562" s="81"/>
      <c r="H562" s="79"/>
      <c r="I562" s="82"/>
      <c r="J562" s="79"/>
      <c r="K562" s="79"/>
      <c r="L562" s="80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 spans="1:28" ht="30" customHeight="1" x14ac:dyDescent="0.3">
      <c r="A563" s="79"/>
      <c r="B563" s="80"/>
      <c r="C563" s="79"/>
      <c r="D563" s="80"/>
      <c r="E563" s="79"/>
      <c r="F563" s="79"/>
      <c r="G563" s="81"/>
      <c r="H563" s="79"/>
      <c r="I563" s="82"/>
      <c r="J563" s="79"/>
      <c r="K563" s="79"/>
      <c r="L563" s="80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 spans="1:28" ht="30" customHeight="1" x14ac:dyDescent="0.3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 spans="1:28" ht="30" customHeight="1" x14ac:dyDescent="0.3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 spans="1:28" ht="30" customHeight="1" x14ac:dyDescent="0.3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 spans="1:28" ht="30" customHeight="1" x14ac:dyDescent="0.3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 spans="1:28" ht="30" customHeight="1" x14ac:dyDescent="0.3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 spans="1:28" ht="30" customHeight="1" x14ac:dyDescent="0.3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 spans="1:28" ht="30" customHeight="1" x14ac:dyDescent="0.3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 spans="1:28" ht="30" customHeight="1" x14ac:dyDescent="0.3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 spans="1:28" ht="30" customHeight="1" x14ac:dyDescent="0.3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 spans="1:28" ht="30" customHeight="1" x14ac:dyDescent="0.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 spans="1:28" ht="30" customHeight="1" x14ac:dyDescent="0.3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 spans="1:28" ht="30" customHeight="1" x14ac:dyDescent="0.3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 spans="1:28" ht="30" customHeight="1" x14ac:dyDescent="0.3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 spans="1:28" ht="30" customHeight="1" x14ac:dyDescent="0.3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 spans="1:28" ht="30" customHeight="1" x14ac:dyDescent="0.3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 spans="1:28" ht="30" customHeight="1" x14ac:dyDescent="0.3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 spans="1:28" ht="30" customHeight="1" x14ac:dyDescent="0.3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 spans="1:28" ht="30" customHeight="1" x14ac:dyDescent="0.3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 spans="1:28" ht="30" customHeight="1" x14ac:dyDescent="0.3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 spans="1:28" ht="30" customHeight="1" x14ac:dyDescent="0.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 spans="1:28" ht="30" customHeight="1" x14ac:dyDescent="0.3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 spans="1:28" ht="30" customHeight="1" x14ac:dyDescent="0.3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 spans="1:28" ht="30" customHeight="1" x14ac:dyDescent="0.3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 spans="1:28" ht="30" customHeight="1" x14ac:dyDescent="0.3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 spans="1:28" ht="30" customHeight="1" x14ac:dyDescent="0.3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 spans="1:28" ht="30" customHeight="1" x14ac:dyDescent="0.3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 spans="1:28" ht="30" customHeight="1" x14ac:dyDescent="0.3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 spans="1:28" ht="30" customHeight="1" x14ac:dyDescent="0.3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 spans="1:28" ht="30" customHeight="1" x14ac:dyDescent="0.3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 spans="1:28" ht="30" customHeight="1" x14ac:dyDescent="0.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 spans="1:28" ht="30" customHeight="1" x14ac:dyDescent="0.3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 spans="1:28" ht="30" customHeight="1" x14ac:dyDescent="0.3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 spans="1:28" ht="30" customHeight="1" x14ac:dyDescent="0.3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 spans="1:28" ht="30" customHeight="1" x14ac:dyDescent="0.3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 spans="1:28" ht="30" customHeight="1" x14ac:dyDescent="0.3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 spans="1:28" ht="30" customHeight="1" x14ac:dyDescent="0.3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 spans="1:28" ht="30" customHeight="1" x14ac:dyDescent="0.3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 spans="1:28" ht="30" customHeight="1" x14ac:dyDescent="0.3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 spans="1:28" ht="30" customHeight="1" x14ac:dyDescent="0.3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 spans="1:28" ht="30" customHeight="1" x14ac:dyDescent="0.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 spans="1:28" ht="30" customHeight="1" x14ac:dyDescent="0.3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 spans="1:28" ht="30" customHeight="1" x14ac:dyDescent="0.3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 spans="1:28" ht="30" customHeight="1" x14ac:dyDescent="0.3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 spans="1:28" ht="30" customHeight="1" x14ac:dyDescent="0.3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 spans="1:28" ht="30" customHeight="1" x14ac:dyDescent="0.3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 spans="1:28" ht="30" customHeight="1" x14ac:dyDescent="0.3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 spans="1:28" ht="30" customHeight="1" x14ac:dyDescent="0.3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 spans="1:28" ht="30" customHeight="1" x14ac:dyDescent="0.3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 spans="1:28" ht="30" customHeight="1" x14ac:dyDescent="0.3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 spans="1:28" ht="30" customHeight="1" x14ac:dyDescent="0.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 spans="1:28" ht="30" customHeight="1" x14ac:dyDescent="0.3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 spans="1:28" ht="30" customHeight="1" x14ac:dyDescent="0.3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 spans="1:28" ht="30" customHeight="1" x14ac:dyDescent="0.3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 spans="1:28" ht="30" customHeight="1" x14ac:dyDescent="0.3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 spans="1:28" ht="30" customHeight="1" x14ac:dyDescent="0.3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 spans="1:28" ht="30" customHeight="1" x14ac:dyDescent="0.3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 spans="1:28" ht="30" customHeight="1" x14ac:dyDescent="0.3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 spans="1:28" ht="30" customHeight="1" x14ac:dyDescent="0.3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 spans="1:28" ht="30" customHeight="1" x14ac:dyDescent="0.3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 spans="1:28" ht="30" customHeight="1" x14ac:dyDescent="0.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 spans="1:28" ht="30" customHeight="1" x14ac:dyDescent="0.3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 spans="1:28" ht="30" customHeight="1" x14ac:dyDescent="0.3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 spans="1:28" ht="30" customHeight="1" x14ac:dyDescent="0.3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 spans="1:28" ht="30" customHeight="1" x14ac:dyDescent="0.3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 spans="1:28" ht="30" customHeight="1" x14ac:dyDescent="0.3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 spans="1:28" ht="30" customHeight="1" x14ac:dyDescent="0.3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 spans="1:28" ht="30" customHeight="1" x14ac:dyDescent="0.3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 spans="1:28" ht="30" customHeight="1" x14ac:dyDescent="0.3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 spans="1:28" ht="30" customHeight="1" x14ac:dyDescent="0.3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 spans="1:28" ht="30" customHeight="1" x14ac:dyDescent="0.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 spans="1:28" ht="30" customHeight="1" x14ac:dyDescent="0.3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 spans="1:28" ht="30" customHeight="1" x14ac:dyDescent="0.3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 spans="1:28" ht="30" customHeight="1" x14ac:dyDescent="0.3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 spans="1:28" ht="30" customHeight="1" x14ac:dyDescent="0.3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 spans="1:28" ht="30" customHeight="1" x14ac:dyDescent="0.3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 spans="1:28" ht="30" customHeight="1" x14ac:dyDescent="0.3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 spans="1:28" ht="30" customHeight="1" x14ac:dyDescent="0.3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 spans="1:28" ht="30" customHeight="1" x14ac:dyDescent="0.3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 spans="1:28" ht="30" customHeight="1" x14ac:dyDescent="0.3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 spans="1:28" ht="30" customHeight="1" x14ac:dyDescent="0.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 spans="1:28" ht="30" customHeight="1" x14ac:dyDescent="0.3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 spans="1:28" ht="30" customHeight="1" x14ac:dyDescent="0.3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 spans="1:28" ht="30" customHeight="1" x14ac:dyDescent="0.3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 spans="1:28" ht="30" customHeight="1" x14ac:dyDescent="0.3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 spans="1:28" ht="30" customHeight="1" x14ac:dyDescent="0.3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 spans="1:28" ht="30" customHeight="1" x14ac:dyDescent="0.3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 spans="1:28" ht="30" customHeight="1" x14ac:dyDescent="0.3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 spans="1:28" ht="30" customHeight="1" x14ac:dyDescent="0.3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 spans="1:28" ht="30" customHeight="1" x14ac:dyDescent="0.3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 spans="1:28" ht="30" customHeight="1" x14ac:dyDescent="0.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 spans="1:28" ht="30" customHeight="1" x14ac:dyDescent="0.3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 spans="1:28" ht="30" customHeight="1" x14ac:dyDescent="0.3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 spans="1:28" ht="30" customHeight="1" x14ac:dyDescent="0.3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 spans="1:28" ht="30" customHeight="1" x14ac:dyDescent="0.3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 spans="1:28" ht="30" customHeight="1" x14ac:dyDescent="0.3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 spans="1:28" ht="30" customHeight="1" x14ac:dyDescent="0.3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 spans="1:28" ht="30" customHeight="1" x14ac:dyDescent="0.3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 spans="1:28" ht="30" customHeight="1" x14ac:dyDescent="0.3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 spans="1:28" ht="30" customHeight="1" x14ac:dyDescent="0.3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 spans="1:28" ht="30" customHeight="1" x14ac:dyDescent="0.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 spans="1:28" ht="30" customHeight="1" x14ac:dyDescent="0.3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 spans="1:28" ht="30" customHeight="1" x14ac:dyDescent="0.3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 spans="1:28" ht="30" customHeight="1" x14ac:dyDescent="0.3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 spans="1:28" ht="30" customHeight="1" x14ac:dyDescent="0.3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 spans="1:28" ht="30" customHeight="1" x14ac:dyDescent="0.3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 spans="1:28" ht="30" customHeight="1" x14ac:dyDescent="0.3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 spans="1:28" ht="30" customHeight="1" x14ac:dyDescent="0.3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 spans="1:28" ht="30" customHeight="1" x14ac:dyDescent="0.3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 spans="1:28" ht="30" customHeight="1" x14ac:dyDescent="0.3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 spans="1:28" ht="30" customHeight="1" x14ac:dyDescent="0.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 spans="1:28" ht="30" customHeight="1" x14ac:dyDescent="0.3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 spans="1:28" ht="30" customHeight="1" x14ac:dyDescent="0.3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 spans="1:28" ht="30" customHeight="1" x14ac:dyDescent="0.3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 spans="1:28" ht="30" customHeight="1" x14ac:dyDescent="0.3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 spans="1:28" ht="30" customHeight="1" x14ac:dyDescent="0.3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 spans="1:28" ht="30" customHeight="1" x14ac:dyDescent="0.3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 spans="1:28" ht="30" customHeight="1" x14ac:dyDescent="0.3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 spans="1:28" ht="30" customHeight="1" x14ac:dyDescent="0.3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 spans="1:28" ht="30" customHeight="1" x14ac:dyDescent="0.3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 spans="1:28" ht="30" customHeight="1" x14ac:dyDescent="0.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 spans="1:28" ht="30" customHeight="1" x14ac:dyDescent="0.3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 spans="1:28" ht="30" customHeight="1" x14ac:dyDescent="0.3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 spans="1:28" ht="30" customHeight="1" x14ac:dyDescent="0.3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 spans="1:28" ht="30" customHeight="1" x14ac:dyDescent="0.3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 spans="1:28" ht="30" customHeight="1" x14ac:dyDescent="0.3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 spans="1:28" ht="30" customHeight="1" x14ac:dyDescent="0.3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 spans="1:28" ht="30" customHeight="1" x14ac:dyDescent="0.3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 spans="1:28" ht="30" customHeight="1" x14ac:dyDescent="0.3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 spans="1:28" ht="30" customHeight="1" x14ac:dyDescent="0.3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 spans="1:28" ht="30" customHeight="1" x14ac:dyDescent="0.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 spans="1:28" ht="30" customHeight="1" x14ac:dyDescent="0.3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 spans="1:28" ht="30" customHeight="1" x14ac:dyDescent="0.3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 spans="1:28" ht="30" customHeight="1" x14ac:dyDescent="0.3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 spans="1:28" ht="30" customHeight="1" x14ac:dyDescent="0.3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 spans="1:28" ht="30" customHeight="1" x14ac:dyDescent="0.3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 spans="1:28" ht="30" customHeight="1" x14ac:dyDescent="0.3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 spans="1:28" ht="30" customHeight="1" x14ac:dyDescent="0.3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 spans="1:28" ht="30" customHeight="1" x14ac:dyDescent="0.3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 spans="1:28" ht="30" customHeight="1" x14ac:dyDescent="0.3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 spans="1:28" ht="30" customHeight="1" x14ac:dyDescent="0.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 spans="1:28" ht="30" customHeight="1" x14ac:dyDescent="0.3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 spans="1:28" ht="30" customHeight="1" x14ac:dyDescent="0.3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 spans="1:28" ht="30" customHeight="1" x14ac:dyDescent="0.3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 spans="1:28" ht="30" customHeight="1" x14ac:dyDescent="0.3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 spans="1:28" ht="30" customHeight="1" x14ac:dyDescent="0.3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 spans="1:28" ht="30" customHeight="1" x14ac:dyDescent="0.3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 spans="1:28" ht="30" customHeight="1" x14ac:dyDescent="0.3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 spans="1:28" ht="30" customHeight="1" x14ac:dyDescent="0.3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 spans="1:28" ht="30" customHeight="1" x14ac:dyDescent="0.3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 spans="1:28" ht="30" customHeight="1" x14ac:dyDescent="0.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 spans="1:28" ht="30" customHeight="1" x14ac:dyDescent="0.3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 spans="1:28" ht="30" customHeight="1" x14ac:dyDescent="0.3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 spans="1:28" ht="30" customHeight="1" x14ac:dyDescent="0.3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 spans="1:28" ht="30" customHeight="1" x14ac:dyDescent="0.3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 spans="1:28" ht="30" customHeight="1" x14ac:dyDescent="0.3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 spans="1:28" ht="30" customHeight="1" x14ac:dyDescent="0.3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 spans="1:28" ht="30" customHeight="1" x14ac:dyDescent="0.3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 spans="1:28" ht="30" customHeight="1" x14ac:dyDescent="0.3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 spans="1:28" ht="30" customHeight="1" x14ac:dyDescent="0.3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 spans="1:28" ht="30" customHeight="1" x14ac:dyDescent="0.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 spans="1:28" ht="30" customHeight="1" x14ac:dyDescent="0.3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 spans="1:28" ht="30" customHeight="1" x14ac:dyDescent="0.3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 spans="1:28" ht="30" customHeight="1" x14ac:dyDescent="0.3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 spans="1:28" ht="30" customHeight="1" x14ac:dyDescent="0.3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 spans="1:28" ht="30" customHeight="1" x14ac:dyDescent="0.3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 spans="1:28" ht="30" customHeight="1" x14ac:dyDescent="0.3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 spans="1:28" ht="30" customHeight="1" x14ac:dyDescent="0.3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 spans="1:28" ht="30" customHeight="1" x14ac:dyDescent="0.3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 spans="1:28" ht="30" customHeight="1" x14ac:dyDescent="0.3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 spans="1:28" ht="30" customHeight="1" x14ac:dyDescent="0.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 spans="1:28" ht="30" customHeight="1" x14ac:dyDescent="0.3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 spans="1:28" ht="30" customHeight="1" x14ac:dyDescent="0.3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 spans="1:28" ht="30" customHeight="1" x14ac:dyDescent="0.3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 spans="1:28" ht="30" customHeight="1" x14ac:dyDescent="0.3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 spans="1:28" ht="30" customHeight="1" x14ac:dyDescent="0.3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 spans="1:28" ht="30" customHeight="1" x14ac:dyDescent="0.3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 spans="1:28" ht="30" customHeight="1" x14ac:dyDescent="0.3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 spans="1:28" ht="30" customHeight="1" x14ac:dyDescent="0.3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 spans="1:28" ht="30" customHeight="1" x14ac:dyDescent="0.3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 spans="1:28" ht="30" customHeight="1" x14ac:dyDescent="0.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 spans="1:28" ht="30" customHeight="1" x14ac:dyDescent="0.3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 spans="1:28" ht="30" customHeight="1" x14ac:dyDescent="0.3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 spans="1:28" ht="30" customHeight="1" x14ac:dyDescent="0.3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 spans="1:28" ht="30" customHeight="1" x14ac:dyDescent="0.3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 spans="1:28" ht="30" customHeight="1" x14ac:dyDescent="0.3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 spans="1:28" ht="30" customHeight="1" x14ac:dyDescent="0.3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 spans="1:28" ht="30" customHeight="1" x14ac:dyDescent="0.3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 spans="1:28" ht="30" customHeight="1" x14ac:dyDescent="0.3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 spans="1:28" ht="30" customHeight="1" x14ac:dyDescent="0.3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 spans="1:28" ht="30" customHeight="1" x14ac:dyDescent="0.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 spans="1:28" ht="30" customHeight="1" x14ac:dyDescent="0.3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 spans="1:28" ht="30" customHeight="1" x14ac:dyDescent="0.3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 spans="1:28" ht="30" customHeight="1" x14ac:dyDescent="0.3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 spans="1:28" ht="30" customHeight="1" x14ac:dyDescent="0.3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 spans="1:28" ht="30" customHeight="1" x14ac:dyDescent="0.3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 spans="1:28" ht="30" customHeight="1" x14ac:dyDescent="0.3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 spans="1:28" ht="30" customHeight="1" x14ac:dyDescent="0.3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 spans="1:28" ht="30" customHeight="1" x14ac:dyDescent="0.3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 spans="1:28" ht="30" customHeight="1" x14ac:dyDescent="0.3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 spans="1:28" ht="30" customHeight="1" x14ac:dyDescent="0.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 spans="1:28" ht="30" customHeight="1" x14ac:dyDescent="0.3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 spans="1:28" ht="30" customHeight="1" x14ac:dyDescent="0.3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 spans="1:28" ht="30" customHeight="1" x14ac:dyDescent="0.3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 spans="1:28" ht="30" customHeight="1" x14ac:dyDescent="0.3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 spans="1:28" ht="30" customHeight="1" x14ac:dyDescent="0.3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 spans="1:28" ht="30" customHeight="1" x14ac:dyDescent="0.3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 spans="1:28" ht="30" customHeight="1" x14ac:dyDescent="0.3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 spans="1:28" ht="30" customHeight="1" x14ac:dyDescent="0.3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 spans="1:28" ht="30" customHeight="1" x14ac:dyDescent="0.3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 spans="1:28" ht="30" customHeight="1" x14ac:dyDescent="0.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 spans="1:28" ht="30" customHeight="1" x14ac:dyDescent="0.3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 spans="1:28" ht="30" customHeight="1" x14ac:dyDescent="0.3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 spans="1:28" ht="30" customHeight="1" x14ac:dyDescent="0.3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 spans="1:28" ht="30" customHeight="1" x14ac:dyDescent="0.3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 spans="1:28" ht="30" customHeight="1" x14ac:dyDescent="0.3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 spans="1:28" ht="30" customHeight="1" x14ac:dyDescent="0.3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 spans="1:28" ht="30" customHeight="1" x14ac:dyDescent="0.3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 spans="1:28" ht="30" customHeight="1" x14ac:dyDescent="0.3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 spans="1:28" ht="30" customHeight="1" x14ac:dyDescent="0.3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 spans="1:28" ht="30" customHeight="1" x14ac:dyDescent="0.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 spans="1:28" ht="30" customHeight="1" x14ac:dyDescent="0.3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 spans="1:28" ht="30" customHeight="1" x14ac:dyDescent="0.3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 spans="1:28" ht="30" customHeight="1" x14ac:dyDescent="0.3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 spans="1:28" ht="30" customHeight="1" x14ac:dyDescent="0.3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 spans="1:28" ht="30" customHeight="1" x14ac:dyDescent="0.3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 spans="1:28" ht="30" customHeight="1" x14ac:dyDescent="0.3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 spans="1:28" ht="30" customHeight="1" x14ac:dyDescent="0.3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 spans="1:28" ht="30" customHeight="1" x14ac:dyDescent="0.3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 spans="1:28" ht="30" customHeight="1" x14ac:dyDescent="0.3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 spans="1:28" ht="30" customHeight="1" x14ac:dyDescent="0.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 spans="1:28" ht="30" customHeight="1" x14ac:dyDescent="0.3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 spans="1:28" ht="30" customHeight="1" x14ac:dyDescent="0.3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 spans="1:28" ht="30" customHeight="1" x14ac:dyDescent="0.3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 spans="1:28" ht="30" customHeight="1" x14ac:dyDescent="0.3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 spans="1:28" ht="30" customHeight="1" x14ac:dyDescent="0.3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 spans="1:28" ht="30" customHeight="1" x14ac:dyDescent="0.3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 spans="1:28" ht="30" customHeight="1" x14ac:dyDescent="0.3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 spans="1:28" ht="30" customHeight="1" x14ac:dyDescent="0.3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 spans="1:28" ht="30" customHeight="1" x14ac:dyDescent="0.3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 spans="1:28" ht="30" customHeight="1" x14ac:dyDescent="0.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 spans="1:28" ht="30" customHeight="1" x14ac:dyDescent="0.3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 spans="1:28" ht="30" customHeight="1" x14ac:dyDescent="0.3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 spans="1:28" ht="30" customHeight="1" x14ac:dyDescent="0.3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 spans="1:28" ht="30" customHeight="1" x14ac:dyDescent="0.3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 spans="1:28" ht="30" customHeight="1" x14ac:dyDescent="0.3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 spans="1:28" ht="30" customHeight="1" x14ac:dyDescent="0.3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 spans="1:28" ht="30" customHeight="1" x14ac:dyDescent="0.3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 spans="1:28" ht="30" customHeight="1" x14ac:dyDescent="0.3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 spans="1:28" ht="30" customHeight="1" x14ac:dyDescent="0.3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 spans="1:28" ht="30" customHeight="1" x14ac:dyDescent="0.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 spans="1:28" ht="30" customHeight="1" x14ac:dyDescent="0.3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 spans="1:28" ht="30" customHeight="1" x14ac:dyDescent="0.3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 spans="1:28" ht="30" customHeight="1" x14ac:dyDescent="0.3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 spans="1:28" ht="30" customHeight="1" x14ac:dyDescent="0.3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 spans="1:28" ht="30" customHeight="1" x14ac:dyDescent="0.3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 spans="1:28" ht="30" customHeight="1" x14ac:dyDescent="0.3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 spans="1:28" ht="30" customHeight="1" x14ac:dyDescent="0.3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 spans="1:28" ht="30" customHeight="1" x14ac:dyDescent="0.3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 spans="1:28" ht="30" customHeight="1" x14ac:dyDescent="0.3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 spans="1:28" ht="30" customHeight="1" x14ac:dyDescent="0.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 spans="1:28" ht="30" customHeight="1" x14ac:dyDescent="0.3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 spans="1:28" ht="30" customHeight="1" x14ac:dyDescent="0.3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 spans="1:28" ht="30" customHeight="1" x14ac:dyDescent="0.3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 spans="1:28" ht="30" customHeight="1" x14ac:dyDescent="0.3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 spans="1:28" ht="30" customHeight="1" x14ac:dyDescent="0.3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 spans="1:28" ht="30" customHeight="1" x14ac:dyDescent="0.3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 spans="1:28" ht="30" customHeight="1" x14ac:dyDescent="0.3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 spans="1:28" ht="30" customHeight="1" x14ac:dyDescent="0.3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 spans="1:28" ht="30" customHeight="1" x14ac:dyDescent="0.3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 spans="1:28" ht="30" customHeight="1" x14ac:dyDescent="0.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 spans="1:28" ht="30" customHeight="1" x14ac:dyDescent="0.3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 spans="1:28" ht="30" customHeight="1" x14ac:dyDescent="0.3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 spans="1:28" ht="30" customHeight="1" x14ac:dyDescent="0.3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 spans="1:28" ht="30" customHeight="1" x14ac:dyDescent="0.3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 spans="1:28" ht="30" customHeight="1" x14ac:dyDescent="0.3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 spans="1:28" ht="30" customHeight="1" x14ac:dyDescent="0.3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 spans="1:28" ht="30" customHeight="1" x14ac:dyDescent="0.3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 spans="1:28" ht="30" customHeight="1" x14ac:dyDescent="0.3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 spans="1:28" ht="30" customHeight="1" x14ac:dyDescent="0.3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 spans="1:28" ht="30" customHeight="1" x14ac:dyDescent="0.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 spans="1:28" ht="30" customHeight="1" x14ac:dyDescent="0.3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 spans="1:28" ht="30" customHeight="1" x14ac:dyDescent="0.3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 spans="1:28" ht="30" customHeight="1" x14ac:dyDescent="0.3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 spans="1:28" ht="30" customHeight="1" x14ac:dyDescent="0.3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 spans="1:28" ht="30" customHeight="1" x14ac:dyDescent="0.3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 spans="1:28" ht="30" customHeight="1" x14ac:dyDescent="0.3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 spans="1:28" ht="30" customHeight="1" x14ac:dyDescent="0.3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 spans="1:28" ht="30" customHeight="1" x14ac:dyDescent="0.3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 spans="1:28" ht="30" customHeight="1" x14ac:dyDescent="0.3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 spans="1:28" ht="30" customHeight="1" x14ac:dyDescent="0.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 spans="1:28" ht="30" customHeight="1" x14ac:dyDescent="0.3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 spans="1:28" ht="30" customHeight="1" x14ac:dyDescent="0.3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 spans="1:28" ht="30" customHeight="1" x14ac:dyDescent="0.3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 spans="1:28" ht="30" customHeight="1" x14ac:dyDescent="0.3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 spans="1:28" ht="30" customHeight="1" x14ac:dyDescent="0.3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 spans="1:28" ht="30" customHeight="1" x14ac:dyDescent="0.3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 spans="1:28" ht="30" customHeight="1" x14ac:dyDescent="0.3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 spans="1:28" ht="30" customHeight="1" x14ac:dyDescent="0.3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 spans="1:28" ht="30" customHeight="1" x14ac:dyDescent="0.3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 spans="1:28" ht="30" customHeight="1" x14ac:dyDescent="0.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 spans="1:28" ht="30" customHeight="1" x14ac:dyDescent="0.3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 spans="1:28" ht="30" customHeight="1" x14ac:dyDescent="0.3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 spans="1:28" ht="30" customHeight="1" x14ac:dyDescent="0.3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 spans="1:28" ht="30" customHeight="1" x14ac:dyDescent="0.3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 spans="1:28" ht="30" customHeight="1" x14ac:dyDescent="0.3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 spans="1:28" ht="30" customHeight="1" x14ac:dyDescent="0.3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 spans="1:28" ht="30" customHeight="1" x14ac:dyDescent="0.3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 spans="1:28" ht="30" customHeight="1" x14ac:dyDescent="0.3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 spans="1:28" ht="30" customHeight="1" x14ac:dyDescent="0.3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 spans="1:28" ht="30" customHeight="1" x14ac:dyDescent="0.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 spans="1:28" ht="30" customHeight="1" x14ac:dyDescent="0.3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 spans="1:28" ht="30" customHeight="1" x14ac:dyDescent="0.3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 spans="1:28" ht="30" customHeight="1" x14ac:dyDescent="0.3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 spans="1:28" ht="30" customHeight="1" x14ac:dyDescent="0.3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 spans="1:28" ht="30" customHeight="1" x14ac:dyDescent="0.3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 spans="1:28" ht="30" customHeight="1" x14ac:dyDescent="0.3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 spans="1:28" ht="30" customHeight="1" x14ac:dyDescent="0.3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 spans="1:28" ht="30" customHeight="1" x14ac:dyDescent="0.3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 spans="1:28" ht="30" customHeight="1" x14ac:dyDescent="0.3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 spans="1:28" ht="30" customHeight="1" x14ac:dyDescent="0.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 spans="1:28" ht="30" customHeight="1" x14ac:dyDescent="0.3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 spans="1:28" ht="30" customHeight="1" x14ac:dyDescent="0.3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 spans="1:28" ht="30" customHeight="1" x14ac:dyDescent="0.3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 spans="1:28" ht="30" customHeight="1" x14ac:dyDescent="0.3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 spans="1:28" ht="30" customHeight="1" x14ac:dyDescent="0.3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 spans="1:28" ht="30" customHeight="1" x14ac:dyDescent="0.3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 spans="1:28" ht="30" customHeight="1" x14ac:dyDescent="0.3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 spans="1:28" ht="30" customHeight="1" x14ac:dyDescent="0.3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 spans="1:28" ht="30" customHeight="1" x14ac:dyDescent="0.3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 spans="1:28" ht="30" customHeight="1" x14ac:dyDescent="0.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 spans="1:28" ht="30" customHeight="1" x14ac:dyDescent="0.3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 spans="1:28" ht="30" customHeight="1" x14ac:dyDescent="0.3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 spans="1:28" ht="30" customHeight="1" x14ac:dyDescent="0.3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 spans="1:28" ht="30" customHeight="1" x14ac:dyDescent="0.3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 spans="1:28" ht="30" customHeight="1" x14ac:dyDescent="0.3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 spans="1:28" ht="30" customHeight="1" x14ac:dyDescent="0.3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 spans="1:28" ht="30" customHeight="1" x14ac:dyDescent="0.3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 spans="1:28" ht="30" customHeight="1" x14ac:dyDescent="0.3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 spans="1:28" ht="30" customHeight="1" x14ac:dyDescent="0.3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 spans="1:28" ht="30" customHeight="1" x14ac:dyDescent="0.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 spans="1:28" ht="30" customHeight="1" x14ac:dyDescent="0.3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 spans="1:28" ht="30" customHeight="1" x14ac:dyDescent="0.3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 spans="1:28" ht="30" customHeight="1" x14ac:dyDescent="0.3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 spans="1:28" ht="30" customHeight="1" x14ac:dyDescent="0.3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 spans="1:28" ht="30" customHeight="1" x14ac:dyDescent="0.3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 spans="1:28" ht="30" customHeight="1" x14ac:dyDescent="0.3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 spans="1:28" ht="30" customHeight="1" x14ac:dyDescent="0.3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 spans="1:28" ht="30" customHeight="1" x14ac:dyDescent="0.3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 spans="1:28" ht="30" customHeight="1" x14ac:dyDescent="0.3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 spans="1:28" ht="30" customHeight="1" x14ac:dyDescent="0.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 spans="1:28" ht="30" customHeight="1" x14ac:dyDescent="0.3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 spans="1:28" ht="30" customHeight="1" x14ac:dyDescent="0.3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 spans="1:28" ht="30" customHeight="1" x14ac:dyDescent="0.3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 spans="1:28" ht="30" customHeight="1" x14ac:dyDescent="0.3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 spans="1:28" ht="30" customHeight="1" x14ac:dyDescent="0.3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 spans="1:28" ht="30" customHeight="1" x14ac:dyDescent="0.3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 spans="1:28" ht="30" customHeight="1" x14ac:dyDescent="0.3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 spans="1:28" ht="30" customHeight="1" x14ac:dyDescent="0.3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 spans="1:28" ht="30" customHeight="1" x14ac:dyDescent="0.3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 spans="1:28" ht="30" customHeight="1" x14ac:dyDescent="0.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 spans="1:28" ht="30" customHeight="1" x14ac:dyDescent="0.3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 spans="1:28" ht="30" customHeight="1" x14ac:dyDescent="0.3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 spans="1:28" ht="30" customHeight="1" x14ac:dyDescent="0.3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 spans="1:28" ht="30" customHeight="1" x14ac:dyDescent="0.3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 spans="1:28" ht="30" customHeight="1" x14ac:dyDescent="0.3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 spans="1:28" ht="30" customHeight="1" x14ac:dyDescent="0.3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 spans="1:28" ht="30" customHeight="1" x14ac:dyDescent="0.3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 spans="1:28" ht="30" customHeight="1" x14ac:dyDescent="0.3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 spans="1:28" ht="30" customHeight="1" x14ac:dyDescent="0.3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 spans="1:28" ht="30" customHeight="1" x14ac:dyDescent="0.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 spans="1:28" ht="30" customHeight="1" x14ac:dyDescent="0.3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 spans="1:28" ht="30" customHeight="1" x14ac:dyDescent="0.3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 spans="1:28" ht="30" customHeight="1" x14ac:dyDescent="0.3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 spans="1:28" ht="30" customHeight="1" x14ac:dyDescent="0.3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 spans="1:28" ht="30" customHeight="1" x14ac:dyDescent="0.3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 spans="1:28" ht="30" customHeight="1" x14ac:dyDescent="0.3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 spans="1:28" ht="30" customHeight="1" x14ac:dyDescent="0.3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 spans="1:28" ht="30" customHeight="1" x14ac:dyDescent="0.3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 spans="1:28" ht="30" customHeight="1" x14ac:dyDescent="0.3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 spans="1:28" ht="30" customHeight="1" x14ac:dyDescent="0.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 spans="1:28" ht="30" customHeight="1" x14ac:dyDescent="0.3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 spans="1:28" ht="30" customHeight="1" x14ac:dyDescent="0.3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 spans="1:28" ht="30" customHeight="1" x14ac:dyDescent="0.3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 spans="1:28" ht="30" customHeight="1" x14ac:dyDescent="0.3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 spans="1:28" ht="30" customHeight="1" x14ac:dyDescent="0.3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 spans="1:28" ht="30" customHeight="1" x14ac:dyDescent="0.3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 spans="1:28" ht="30" customHeight="1" x14ac:dyDescent="0.3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 spans="1:28" ht="30" customHeight="1" x14ac:dyDescent="0.3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 spans="1:28" ht="30" customHeight="1" x14ac:dyDescent="0.3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 spans="1:28" ht="30" customHeight="1" x14ac:dyDescent="0.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 spans="1:28" ht="30" customHeight="1" x14ac:dyDescent="0.3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 spans="1:28" ht="30" customHeight="1" x14ac:dyDescent="0.3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 spans="1:28" ht="30" customHeight="1" x14ac:dyDescent="0.3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 spans="1:28" ht="30" customHeight="1" x14ac:dyDescent="0.3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 spans="1:28" ht="30" customHeight="1" x14ac:dyDescent="0.3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 spans="1:28" ht="30" customHeight="1" x14ac:dyDescent="0.3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 spans="1:28" ht="30" customHeight="1" x14ac:dyDescent="0.3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 spans="1:28" ht="30" customHeight="1" x14ac:dyDescent="0.3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 spans="1:28" ht="30" customHeight="1" x14ac:dyDescent="0.3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 spans="1:28" ht="30" customHeight="1" x14ac:dyDescent="0.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 spans="1:28" ht="30" customHeight="1" x14ac:dyDescent="0.3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 spans="1:28" ht="30" customHeight="1" x14ac:dyDescent="0.3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 spans="1:28" ht="30" customHeight="1" x14ac:dyDescent="0.3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 spans="1:28" ht="30" customHeight="1" x14ac:dyDescent="0.3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 spans="1:28" ht="30" customHeight="1" x14ac:dyDescent="0.3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 spans="1:28" ht="30" customHeight="1" x14ac:dyDescent="0.3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 spans="1:28" ht="30" customHeight="1" x14ac:dyDescent="0.3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 spans="1:28" ht="30" customHeight="1" x14ac:dyDescent="0.3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 spans="1:28" ht="30" customHeight="1" x14ac:dyDescent="0.3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 spans="1:28" ht="30" customHeight="1" x14ac:dyDescent="0.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 spans="1:28" ht="30" customHeight="1" x14ac:dyDescent="0.3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 spans="1:28" ht="30" customHeight="1" x14ac:dyDescent="0.3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 spans="1:28" ht="30" customHeight="1" x14ac:dyDescent="0.3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 spans="1:28" ht="30" customHeight="1" x14ac:dyDescent="0.3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 spans="1:28" ht="30" customHeight="1" x14ac:dyDescent="0.3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 spans="1:28" ht="30" customHeight="1" x14ac:dyDescent="0.3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 spans="1:28" ht="30" customHeight="1" x14ac:dyDescent="0.3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 spans="1:28" ht="30" customHeight="1" x14ac:dyDescent="0.3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  <row r="982" spans="1:28" ht="30" customHeight="1" x14ac:dyDescent="0.3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</row>
    <row r="983" spans="1:28" ht="30" customHeight="1" x14ac:dyDescent="0.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</row>
    <row r="984" spans="1:28" ht="30" customHeight="1" x14ac:dyDescent="0.3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</row>
    <row r="985" spans="1:28" ht="30" customHeight="1" x14ac:dyDescent="0.3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</row>
    <row r="986" spans="1:28" ht="30" customHeight="1" x14ac:dyDescent="0.3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</row>
    <row r="987" spans="1:28" ht="30" customHeight="1" x14ac:dyDescent="0.3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</row>
    <row r="988" spans="1:28" ht="30" customHeight="1" x14ac:dyDescent="0.3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</row>
    <row r="989" spans="1:28" ht="30" customHeight="1" x14ac:dyDescent="0.3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</row>
    <row r="990" spans="1:28" ht="30" customHeight="1" x14ac:dyDescent="0.3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</row>
    <row r="991" spans="1:28" ht="30" customHeight="1" x14ac:dyDescent="0.3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</row>
    <row r="992" spans="1:28" ht="30" customHeight="1" x14ac:dyDescent="0.3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</row>
    <row r="993" spans="1:28" ht="30" customHeight="1" x14ac:dyDescent="0.3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</row>
    <row r="994" spans="1:28" ht="30" customHeight="1" x14ac:dyDescent="0.3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</row>
    <row r="995" spans="1:28" ht="30" customHeight="1" x14ac:dyDescent="0.3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</row>
    <row r="996" spans="1:28" ht="30" customHeight="1" x14ac:dyDescent="0.3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</row>
    <row r="997" spans="1:28" ht="30" customHeight="1" x14ac:dyDescent="0.3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</row>
    <row r="998" spans="1:28" ht="30" customHeight="1" x14ac:dyDescent="0.3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</row>
    <row r="999" spans="1:28" ht="30" customHeight="1" x14ac:dyDescent="0.3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</row>
    <row r="1000" spans="1:28" ht="30" customHeight="1" x14ac:dyDescent="0.3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</row>
  </sheetData>
  <mergeCells count="15">
    <mergeCell ref="A285:K285"/>
    <mergeCell ref="A335:K335"/>
    <mergeCell ref="A357:K357"/>
    <mergeCell ref="A4:K4"/>
    <mergeCell ref="A21:K21"/>
    <mergeCell ref="A47:K47"/>
    <mergeCell ref="A67:K67"/>
    <mergeCell ref="A84:K84"/>
    <mergeCell ref="A104:K104"/>
    <mergeCell ref="A120:K120"/>
    <mergeCell ref="A144:K144"/>
    <mergeCell ref="A167:K167"/>
    <mergeCell ref="A201:K201"/>
    <mergeCell ref="A228:K228"/>
    <mergeCell ref="A248:K248"/>
  </mergeCells>
  <conditionalFormatting sqref="K5:K20 K22:K46 K286:K334 K336:K356 K358:K371">
    <cfRule type="cellIs" dxfId="43" priority="1" operator="equal">
      <formula>"Passed"</formula>
    </cfRule>
    <cfRule type="cellIs" dxfId="42" priority="2" operator="equal">
      <formula>"Failed"</formula>
    </cfRule>
    <cfRule type="cellIs" dxfId="41" priority="3" operator="equal">
      <formula>"Not Executed"</formula>
    </cfRule>
    <cfRule type="cellIs" dxfId="40" priority="4" operator="equal">
      <formula>"Out of Scope"</formula>
    </cfRule>
  </conditionalFormatting>
  <conditionalFormatting sqref="K48:K66">
    <cfRule type="cellIs" dxfId="39" priority="5" operator="equal">
      <formula>"Passed"</formula>
    </cfRule>
    <cfRule type="cellIs" dxfId="38" priority="6" operator="equal">
      <formula>"Failed"</formula>
    </cfRule>
    <cfRule type="cellIs" dxfId="37" priority="7" operator="equal">
      <formula>"Not Executed"</formula>
    </cfRule>
    <cfRule type="cellIs" dxfId="36" priority="8" operator="equal">
      <formula>"Out of Scope"</formula>
    </cfRule>
  </conditionalFormatting>
  <conditionalFormatting sqref="K68:K83">
    <cfRule type="cellIs" dxfId="35" priority="9" operator="equal">
      <formula>"Passed"</formula>
    </cfRule>
    <cfRule type="cellIs" dxfId="34" priority="10" operator="equal">
      <formula>"Failed"</formula>
    </cfRule>
    <cfRule type="cellIs" dxfId="33" priority="11" operator="equal">
      <formula>"Not Executed"</formula>
    </cfRule>
    <cfRule type="cellIs" dxfId="32" priority="12" operator="equal">
      <formula>"Out of Scope"</formula>
    </cfRule>
  </conditionalFormatting>
  <conditionalFormatting sqref="K85:K103">
    <cfRule type="cellIs" dxfId="31" priority="13" operator="equal">
      <formula>"Passed"</formula>
    </cfRule>
    <cfRule type="cellIs" dxfId="30" priority="14" operator="equal">
      <formula>"Failed"</formula>
    </cfRule>
    <cfRule type="cellIs" dxfId="29" priority="15" operator="equal">
      <formula>"Not Executed"</formula>
    </cfRule>
    <cfRule type="cellIs" dxfId="28" priority="16" operator="equal">
      <formula>"Out of Scope"</formula>
    </cfRule>
  </conditionalFormatting>
  <conditionalFormatting sqref="K105:K119">
    <cfRule type="cellIs" dxfId="27" priority="17" operator="equal">
      <formula>"Passed"</formula>
    </cfRule>
    <cfRule type="cellIs" dxfId="26" priority="18" operator="equal">
      <formula>"Failed"</formula>
    </cfRule>
    <cfRule type="cellIs" dxfId="25" priority="19" operator="equal">
      <formula>"Not Executed"</formula>
    </cfRule>
    <cfRule type="cellIs" dxfId="24" priority="20" operator="equal">
      <formula>"Out of Scope"</formula>
    </cfRule>
  </conditionalFormatting>
  <conditionalFormatting sqref="K121:K143">
    <cfRule type="cellIs" dxfId="23" priority="21" operator="equal">
      <formula>"Passed"</formula>
    </cfRule>
    <cfRule type="cellIs" dxfId="22" priority="22" operator="equal">
      <formula>"Failed"</formula>
    </cfRule>
    <cfRule type="cellIs" dxfId="21" priority="23" operator="equal">
      <formula>"Not Executed"</formula>
    </cfRule>
    <cfRule type="cellIs" dxfId="20" priority="24" operator="equal">
      <formula>"Out of Scope"</formula>
    </cfRule>
  </conditionalFormatting>
  <conditionalFormatting sqref="K145:K166">
    <cfRule type="cellIs" dxfId="19" priority="25" operator="equal">
      <formula>"Passed"</formula>
    </cfRule>
    <cfRule type="cellIs" dxfId="18" priority="26" operator="equal">
      <formula>"Failed"</formula>
    </cfRule>
    <cfRule type="cellIs" dxfId="17" priority="27" operator="equal">
      <formula>"Not Executed"</formula>
    </cfRule>
    <cfRule type="cellIs" dxfId="16" priority="28" operator="equal">
      <formula>"Out of Scope"</formula>
    </cfRule>
  </conditionalFormatting>
  <conditionalFormatting sqref="K168:K200">
    <cfRule type="cellIs" dxfId="15" priority="29" operator="equal">
      <formula>"Passed"</formula>
    </cfRule>
    <cfRule type="cellIs" dxfId="14" priority="30" operator="equal">
      <formula>"Failed"</formula>
    </cfRule>
    <cfRule type="cellIs" dxfId="13" priority="31" operator="equal">
      <formula>"Not Executed"</formula>
    </cfRule>
    <cfRule type="cellIs" dxfId="12" priority="32" operator="equal">
      <formula>"Out of Scope"</formula>
    </cfRule>
  </conditionalFormatting>
  <conditionalFormatting sqref="K202:K227">
    <cfRule type="cellIs" dxfId="11" priority="33" operator="equal">
      <formula>"Passed"</formula>
    </cfRule>
    <cfRule type="cellIs" dxfId="10" priority="34" operator="equal">
      <formula>"Failed"</formula>
    </cfRule>
    <cfRule type="cellIs" dxfId="9" priority="35" operator="equal">
      <formula>"Not Executed"</formula>
    </cfRule>
    <cfRule type="cellIs" dxfId="8" priority="36" operator="equal">
      <formula>"Out of Scope"</formula>
    </cfRule>
  </conditionalFormatting>
  <conditionalFormatting sqref="K229:K247">
    <cfRule type="cellIs" dxfId="7" priority="37" operator="equal">
      <formula>"Passed"</formula>
    </cfRule>
    <cfRule type="cellIs" dxfId="6" priority="38" operator="equal">
      <formula>"Failed"</formula>
    </cfRule>
    <cfRule type="cellIs" dxfId="5" priority="39" operator="equal">
      <formula>"Not Executed"</formula>
    </cfRule>
    <cfRule type="cellIs" dxfId="4" priority="40" operator="equal">
      <formula>"Out of Scope"</formula>
    </cfRule>
  </conditionalFormatting>
  <conditionalFormatting sqref="K249:K284">
    <cfRule type="cellIs" dxfId="3" priority="41" operator="equal">
      <formula>"Passed"</formula>
    </cfRule>
    <cfRule type="cellIs" dxfId="2" priority="42" operator="equal">
      <formula>"Failed"</formula>
    </cfRule>
    <cfRule type="cellIs" dxfId="1" priority="43" operator="equal">
      <formula>"Not Executed"</formula>
    </cfRule>
    <cfRule type="cellIs" dxfId="0" priority="44" operator="equal">
      <formula>"Out of Scope"</formula>
    </cfRule>
  </conditionalFormatting>
  <dataValidations count="1">
    <dataValidation type="list" allowBlank="1" sqref="K5:K20 K22:K46 K48:K66 K68:K83 K85:K103 K105:K119 K121:K143 K145:K166 K168:K200 K202:K227 K229:K247 K249:K284 K286:K334 K336:K356 K358:K371" xr:uid="{00000000-0002-0000-0100-000000000000}">
      <formula1>"Passed,Failed,Not Executed,Out of Scope"</formula1>
    </dataValidation>
  </dataValidations>
  <hyperlinks>
    <hyperlink ref="B1" r:id="rId1" xr:uid="{00000000-0004-0000-0100-000000000000}"/>
    <hyperlink ref="I14" r:id="rId2" xr:uid="{00000000-0004-0000-0100-000001000000}"/>
    <hyperlink ref="I16" r:id="rId3" xr:uid="{00000000-0004-0000-0100-000002000000}"/>
    <hyperlink ref="I63" r:id="rId4" xr:uid="{00000000-0004-0000-0100-000003000000}"/>
    <hyperlink ref="I65" r:id="rId5" xr:uid="{00000000-0004-0000-0100-000004000000}"/>
    <hyperlink ref="I76" r:id="rId6" xr:uid="{00000000-0004-0000-0100-000005000000}"/>
    <hyperlink ref="I78" r:id="rId7" xr:uid="{00000000-0004-0000-0100-000006000000}"/>
    <hyperlink ref="I112" r:id="rId8" xr:uid="{00000000-0004-0000-0100-000007000000}"/>
    <hyperlink ref="I130" r:id="rId9" xr:uid="{00000000-0004-0000-0100-000008000000}"/>
    <hyperlink ref="I132" r:id="rId10" xr:uid="{00000000-0004-0000-0100-000009000000}"/>
    <hyperlink ref="I134" r:id="rId11" xr:uid="{00000000-0004-0000-0100-00000A000000}"/>
    <hyperlink ref="I136" r:id="rId12" xr:uid="{00000000-0004-0000-0100-00000B000000}"/>
    <hyperlink ref="I137" r:id="rId13" xr:uid="{00000000-0004-0000-0100-00000C000000}"/>
    <hyperlink ref="I150" r:id="rId14" xr:uid="{00000000-0004-0000-0100-00000D000000}"/>
    <hyperlink ref="I151" r:id="rId15" xr:uid="{00000000-0004-0000-0100-00000E000000}"/>
    <hyperlink ref="I152" r:id="rId16" xr:uid="{00000000-0004-0000-0100-00000F000000}"/>
    <hyperlink ref="I153" r:id="rId17" xr:uid="{00000000-0004-0000-0100-000010000000}"/>
    <hyperlink ref="I154" r:id="rId18" xr:uid="{00000000-0004-0000-0100-000011000000}"/>
    <hyperlink ref="I155" r:id="rId19" xr:uid="{00000000-0004-0000-0100-000012000000}"/>
    <hyperlink ref="I156" r:id="rId20" xr:uid="{00000000-0004-0000-0100-000013000000}"/>
    <hyperlink ref="I160" r:id="rId21" xr:uid="{00000000-0004-0000-0100-000014000000}"/>
    <hyperlink ref="I165" r:id="rId22" xr:uid="{00000000-0004-0000-0100-000015000000}"/>
    <hyperlink ref="I187" r:id="rId23" xr:uid="{00000000-0004-0000-0100-000016000000}"/>
    <hyperlink ref="I190" r:id="rId24" xr:uid="{00000000-0004-0000-0100-000017000000}"/>
    <hyperlink ref="I213" r:id="rId25" xr:uid="{00000000-0004-0000-0100-000018000000}"/>
    <hyperlink ref="I225" r:id="rId26" xr:uid="{00000000-0004-0000-0100-000019000000}"/>
    <hyperlink ref="I237" r:id="rId27" xr:uid="{00000000-0004-0000-0100-00001A000000}"/>
    <hyperlink ref="I247" r:id="rId28" xr:uid="{00000000-0004-0000-0100-00001B000000}"/>
    <hyperlink ref="I273" r:id="rId29" xr:uid="{00000000-0004-0000-0100-00001C000000}"/>
    <hyperlink ref="I319" r:id="rId30" xr:uid="{00000000-0004-0000-0100-00001D000000}"/>
    <hyperlink ref="I320" r:id="rId31" xr:uid="{00000000-0004-0000-0100-00001E000000}"/>
    <hyperlink ref="I342" r:id="rId32" xr:uid="{00000000-0004-0000-0100-00001F000000}"/>
    <hyperlink ref="I344" r:id="rId33" xr:uid="{00000000-0004-0000-0100-000020000000}"/>
    <hyperlink ref="I353" r:id="rId34" xr:uid="{00000000-0004-0000-0100-000021000000}"/>
    <hyperlink ref="I354" r:id="rId35" xr:uid="{00000000-0004-0000-0100-000022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TestScenario</vt:lpstr>
      <vt:lpstr>TestCase</vt:lpstr>
      <vt:lpstr>Remember_Me_checkbox_error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Rezwan Hossain Turjo</cp:lastModifiedBy>
  <dcterms:modified xsi:type="dcterms:W3CDTF">2026-02-06T04:59:56Z</dcterms:modified>
</cp:coreProperties>
</file>